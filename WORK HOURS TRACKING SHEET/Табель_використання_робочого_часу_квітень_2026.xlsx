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Shifts-api\Shifts-api\WORK HOURS TRACKING SHEET\"/>
    </mc:Choice>
  </mc:AlternateContent>
  <xr:revisionPtr revIDLastSave="0" documentId="8_{A552F36A-C5D5-4C37-B374-EF8ECF377DA7}" xr6:coauthVersionLast="47" xr6:coauthVersionMax="47" xr10:uidLastSave="{00000000-0000-0000-0000-000000000000}"/>
  <bookViews>
    <workbookView xWindow="-108" yWindow="-108" windowWidth="23256" windowHeight="12456" xr2:uid="{D90C3ACD-83D1-46F2-A11E-55242697F1CB}"/>
  </bookViews>
  <sheets>
    <sheet name="Арку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8" i="1" l="1"/>
  <c r="W186" i="1"/>
  <c r="W184" i="1"/>
  <c r="W182" i="1"/>
  <c r="W180" i="1"/>
  <c r="W178" i="1"/>
  <c r="W176" i="1"/>
  <c r="W174" i="1"/>
  <c r="W172" i="1"/>
  <c r="V192" i="1"/>
  <c r="S191" i="1"/>
  <c r="U190" i="1"/>
  <c r="W190" i="1"/>
  <c r="S189" i="1"/>
  <c r="S187" i="1"/>
  <c r="S185" i="1"/>
  <c r="S183" i="1"/>
  <c r="S181" i="1"/>
  <c r="S179" i="1"/>
  <c r="S177" i="1"/>
  <c r="S175" i="1"/>
  <c r="S173" i="1"/>
  <c r="S171" i="1"/>
  <c r="U170" i="1"/>
  <c r="W170" i="1"/>
  <c r="S169" i="1"/>
  <c r="U168" i="1"/>
  <c r="W168" i="1"/>
  <c r="S167" i="1"/>
  <c r="U166" i="1"/>
  <c r="W166" i="1"/>
  <c r="S165" i="1"/>
  <c r="U164" i="1"/>
  <c r="W164" i="1"/>
  <c r="S163" i="1"/>
  <c r="U162" i="1"/>
  <c r="W162" i="1"/>
  <c r="S161" i="1"/>
  <c r="U160" i="1"/>
  <c r="W160" i="1"/>
  <c r="S159" i="1"/>
  <c r="U158" i="1"/>
  <c r="W158" i="1"/>
  <c r="S157" i="1"/>
  <c r="U156" i="1"/>
  <c r="W156" i="1"/>
  <c r="S155" i="1"/>
  <c r="U154" i="1"/>
  <c r="S153" i="1"/>
  <c r="U152" i="1"/>
  <c r="W152" i="1"/>
  <c r="S151" i="1"/>
  <c r="U150" i="1"/>
  <c r="W150" i="1"/>
  <c r="S149" i="1"/>
  <c r="U148" i="1"/>
  <c r="W148" i="1"/>
  <c r="S147" i="1"/>
  <c r="U146" i="1"/>
  <c r="W146" i="1"/>
  <c r="S145" i="1"/>
  <c r="U144" i="1"/>
  <c r="W144" i="1"/>
  <c r="S143" i="1"/>
  <c r="U142" i="1"/>
  <c r="W142" i="1"/>
  <c r="S141" i="1"/>
  <c r="U140" i="1"/>
  <c r="W140" i="1"/>
  <c r="S139" i="1"/>
  <c r="U138" i="1"/>
  <c r="W138" i="1"/>
  <c r="S137" i="1"/>
  <c r="U136" i="1"/>
  <c r="W136" i="1"/>
  <c r="S135" i="1"/>
  <c r="U134" i="1"/>
  <c r="W134" i="1"/>
  <c r="S133" i="1"/>
  <c r="U132" i="1"/>
  <c r="W132" i="1"/>
  <c r="S131" i="1"/>
  <c r="U130" i="1"/>
  <c r="W130" i="1"/>
  <c r="S129" i="1"/>
  <c r="U128" i="1"/>
  <c r="W128" i="1"/>
  <c r="S127" i="1"/>
  <c r="U126" i="1"/>
  <c r="W126" i="1"/>
  <c r="S125" i="1"/>
  <c r="U124" i="1"/>
  <c r="W124" i="1"/>
  <c r="S123" i="1"/>
  <c r="U122" i="1"/>
  <c r="W122" i="1"/>
  <c r="S121" i="1"/>
  <c r="U120" i="1"/>
  <c r="W120" i="1"/>
  <c r="S119" i="1"/>
  <c r="U118" i="1"/>
  <c r="W118" i="1"/>
  <c r="S117" i="1"/>
  <c r="U116" i="1"/>
  <c r="W116" i="1"/>
  <c r="S115" i="1"/>
  <c r="U114" i="1"/>
  <c r="W114" i="1"/>
  <c r="S113" i="1"/>
  <c r="U112" i="1"/>
  <c r="W112" i="1"/>
  <c r="S111" i="1"/>
  <c r="U110" i="1"/>
  <c r="W110" i="1"/>
  <c r="S109" i="1"/>
  <c r="U108" i="1"/>
  <c r="W108" i="1"/>
  <c r="S107" i="1"/>
  <c r="U106" i="1"/>
  <c r="W106" i="1"/>
  <c r="S105" i="1"/>
  <c r="U104" i="1"/>
  <c r="W104" i="1"/>
  <c r="A26" i="1"/>
  <c r="A28" i="1"/>
  <c r="A30" i="1"/>
  <c r="A32" i="1"/>
  <c r="A34" i="1"/>
  <c r="A36" i="1"/>
  <c r="A38" i="1"/>
  <c r="A40" i="1"/>
  <c r="A42" i="1"/>
  <c r="A44" i="1"/>
  <c r="A46" i="1"/>
  <c r="A48" i="1"/>
  <c r="A50" i="1"/>
  <c r="A52" i="1"/>
  <c r="A54" i="1"/>
  <c r="A56" i="1"/>
  <c r="A58" i="1"/>
  <c r="A60" i="1"/>
  <c r="A62" i="1"/>
  <c r="A64" i="1"/>
  <c r="A66" i="1"/>
  <c r="A68" i="1"/>
  <c r="A70" i="1"/>
  <c r="A72" i="1"/>
  <c r="A74" i="1"/>
  <c r="A76" i="1"/>
  <c r="A78" i="1"/>
  <c r="A80" i="1"/>
  <c r="A82" i="1"/>
  <c r="A84" i="1"/>
  <c r="A86" i="1"/>
  <c r="A88" i="1"/>
  <c r="A90" i="1"/>
  <c r="A92" i="1"/>
  <c r="A94" i="1"/>
  <c r="A96" i="1"/>
  <c r="A98" i="1"/>
  <c r="A100" i="1"/>
  <c r="A102" i="1"/>
  <c r="A104" i="1"/>
  <c r="A106" i="1"/>
  <c r="A108" i="1"/>
  <c r="A110" i="1"/>
  <c r="A112" i="1"/>
  <c r="A114" i="1"/>
  <c r="A116" i="1"/>
  <c r="A118" i="1"/>
  <c r="A120" i="1"/>
  <c r="A122" i="1"/>
  <c r="A124" i="1"/>
  <c r="A126" i="1"/>
  <c r="A128" i="1"/>
  <c r="A130" i="1"/>
  <c r="A132" i="1"/>
  <c r="A134" i="1"/>
  <c r="A136" i="1"/>
  <c r="A138" i="1"/>
  <c r="A140" i="1"/>
  <c r="A142" i="1"/>
  <c r="A144" i="1"/>
  <c r="A146" i="1"/>
  <c r="A148" i="1"/>
  <c r="A150" i="1"/>
  <c r="A152" i="1"/>
  <c r="A154" i="1"/>
  <c r="A156" i="1"/>
  <c r="A158" i="1"/>
  <c r="A160" i="1"/>
  <c r="A162" i="1"/>
  <c r="A164" i="1"/>
  <c r="A166" i="1"/>
  <c r="A168" i="1"/>
  <c r="A170" i="1"/>
  <c r="A172" i="1"/>
  <c r="A174" i="1"/>
  <c r="A176" i="1"/>
  <c r="A178" i="1"/>
  <c r="A180" i="1"/>
  <c r="A182" i="1"/>
  <c r="A184" i="1"/>
  <c r="A186" i="1"/>
  <c r="A188" i="1"/>
  <c r="A190" i="1"/>
  <c r="S103" i="1"/>
  <c r="U102" i="1"/>
  <c r="W102" i="1"/>
  <c r="S101" i="1"/>
  <c r="U100" i="1"/>
  <c r="W100" i="1"/>
  <c r="S99" i="1"/>
  <c r="U98" i="1"/>
  <c r="W98" i="1"/>
  <c r="S97" i="1"/>
  <c r="U96" i="1"/>
  <c r="W96" i="1"/>
  <c r="S95" i="1"/>
  <c r="U94" i="1"/>
  <c r="W94" i="1"/>
  <c r="S93" i="1"/>
  <c r="U92" i="1"/>
  <c r="W92" i="1"/>
  <c r="S91" i="1"/>
  <c r="U90" i="1"/>
  <c r="W90" i="1"/>
  <c r="S89" i="1"/>
  <c r="U88" i="1"/>
  <c r="W88" i="1"/>
  <c r="S87" i="1"/>
  <c r="U86" i="1"/>
  <c r="W86" i="1"/>
  <c r="S85" i="1"/>
  <c r="U84" i="1"/>
  <c r="W84" i="1"/>
  <c r="S83" i="1"/>
  <c r="U82" i="1"/>
  <c r="W82" i="1"/>
  <c r="S81" i="1"/>
  <c r="U80" i="1"/>
  <c r="W80" i="1"/>
  <c r="S79" i="1"/>
  <c r="U78" i="1"/>
  <c r="W78" i="1"/>
  <c r="S77" i="1"/>
  <c r="U76" i="1"/>
  <c r="W76" i="1"/>
  <c r="S75" i="1"/>
  <c r="U74" i="1"/>
  <c r="W74" i="1"/>
  <c r="S73" i="1"/>
  <c r="U72" i="1"/>
  <c r="W72" i="1"/>
  <c r="S71" i="1"/>
  <c r="U70" i="1"/>
  <c r="W70" i="1"/>
  <c r="S69" i="1"/>
  <c r="U68" i="1"/>
  <c r="W68" i="1"/>
  <c r="S67" i="1"/>
  <c r="U66" i="1"/>
  <c r="W66" i="1"/>
  <c r="S65" i="1"/>
  <c r="U64" i="1"/>
  <c r="W64" i="1"/>
  <c r="S63" i="1"/>
  <c r="U62" i="1"/>
  <c r="W62" i="1"/>
  <c r="S61" i="1"/>
  <c r="U60" i="1"/>
  <c r="W60" i="1"/>
  <c r="S59" i="1"/>
  <c r="U58" i="1"/>
  <c r="W58" i="1"/>
  <c r="S57" i="1"/>
  <c r="U56" i="1"/>
  <c r="W56" i="1"/>
  <c r="S55" i="1"/>
  <c r="U54" i="1"/>
  <c r="W54" i="1"/>
  <c r="S53" i="1"/>
  <c r="U52" i="1"/>
  <c r="W52" i="1"/>
  <c r="S51" i="1"/>
  <c r="U50" i="1"/>
  <c r="W50" i="1"/>
  <c r="S49" i="1"/>
  <c r="U48" i="1"/>
  <c r="W48" i="1"/>
  <c r="S47" i="1"/>
  <c r="U46" i="1"/>
  <c r="W46" i="1"/>
  <c r="S45" i="1"/>
  <c r="U44" i="1"/>
  <c r="W44" i="1"/>
  <c r="S43" i="1"/>
  <c r="U42" i="1"/>
  <c r="W42" i="1"/>
  <c r="S41" i="1"/>
  <c r="U40" i="1"/>
  <c r="W40" i="1"/>
  <c r="S39" i="1"/>
  <c r="U38" i="1"/>
  <c r="W38" i="1"/>
  <c r="S37" i="1"/>
  <c r="U36" i="1"/>
  <c r="W36" i="1"/>
  <c r="S35" i="1"/>
  <c r="U34" i="1"/>
  <c r="W34" i="1"/>
  <c r="S33" i="1"/>
  <c r="U32" i="1"/>
  <c r="W32" i="1"/>
  <c r="S31" i="1"/>
  <c r="U30" i="1"/>
  <c r="W30" i="1"/>
  <c r="S29" i="1"/>
  <c r="U28" i="1"/>
  <c r="W28" i="1"/>
  <c r="S27" i="1"/>
  <c r="U26" i="1"/>
  <c r="W26" i="1"/>
  <c r="S25" i="1"/>
  <c r="U24" i="1"/>
  <c r="W154" i="1"/>
  <c r="W24" i="1"/>
  <c r="W192" i="1"/>
  <c r="U192" i="1"/>
</calcChain>
</file>

<file path=xl/sharedStrings.xml><?xml version="1.0" encoding="utf-8"?>
<sst xmlns="http://schemas.openxmlformats.org/spreadsheetml/2006/main" count="2144" uniqueCount="133">
  <si>
    <t>ТАБЕЛЬ ОБЛІКУ ВИКОРИСТАННЯ РОБОЧОГО ЧАСУ</t>
  </si>
  <si>
    <t>№ п/п</t>
  </si>
  <si>
    <t>Відмітки про явки та неявки за числами місяця (годин)</t>
  </si>
  <si>
    <t>Відпрацьовано за місяць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</si>
  <si>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</si>
  <si>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</si>
  <si>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</si>
  <si>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</si>
  <si>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</si>
  <si>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</si>
  <si>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</si>
  <si>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</si>
  <si>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</si>
  <si>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Х</t>
  </si>
  <si>
    <t>днів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</si>
  <si>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</si>
  <si>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</si>
  <si>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</si>
  <si>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</si>
  <si>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</si>
  <si>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</si>
  <si>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</si>
  <si>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</si>
  <si>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</si>
  <si>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</si>
  <si>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</si>
  <si>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</si>
  <si>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</si>
  <si>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годин</t>
  </si>
  <si>
    <t>Відповідальна особа</t>
  </si>
  <si>
    <t>(посада)</t>
  </si>
  <si>
    <t>8</t>
  </si>
  <si>
    <t>4</t>
  </si>
  <si>
    <t>5</t>
  </si>
  <si>
    <t>Вихідних  днів</t>
  </si>
  <si>
    <t>тарифна ставка 104 грн. за годину</t>
  </si>
  <si>
    <t>3</t>
  </si>
  <si>
    <t>3,5</t>
  </si>
  <si>
    <t>Чумак Ірина Олександрівна</t>
  </si>
  <si>
    <t>Агафонова Марина Олександрівна</t>
  </si>
  <si>
    <t>Меджевська Ліана  Альбертовна</t>
  </si>
  <si>
    <t>Михайлова Олена Юріївна</t>
  </si>
  <si>
    <t>Чуєва Ірина Юріївна</t>
  </si>
  <si>
    <t>Волкова Вікторія Янівна</t>
  </si>
  <si>
    <t>Іщенко Оксана Юріївна</t>
  </si>
  <si>
    <t>Гарагата Олена Сергіївна</t>
  </si>
  <si>
    <t>Каменева Катерина Миколаївна</t>
  </si>
  <si>
    <t>Попова Світлана Вікторівна</t>
  </si>
  <si>
    <t>Сидорова Наталія Іванівна</t>
  </si>
  <si>
    <t>Лисенко Аліна Віталіївна</t>
  </si>
  <si>
    <t>Золотова Юлія Вікторівна</t>
  </si>
  <si>
    <t>Ставицька Світлана Іванівна</t>
  </si>
  <si>
    <t>Єршова Тетяна Олександрівна</t>
  </si>
  <si>
    <t>Мережко Юлія Леонідівна</t>
  </si>
  <si>
    <t>Соломко Наталія Григорівна</t>
  </si>
  <si>
    <t>Козлова Альбіна Миколаївна</t>
  </si>
  <si>
    <t>Гулітенко Світлана Павлівна</t>
  </si>
  <si>
    <t>Костозьорова Оксана Володимирівна</t>
  </si>
  <si>
    <t>Скляренко Жанна Євгенівна</t>
  </si>
  <si>
    <t>Маслова Тетяна Григорівна</t>
  </si>
  <si>
    <t>Штанько Вікторія Олександрівна</t>
  </si>
  <si>
    <t>Сєрікова Олександра Володимирівна</t>
  </si>
  <si>
    <t xml:space="preserve">Обуховська Олена Василівна </t>
  </si>
  <si>
    <t>Кравченко Тетяна Вікторівна</t>
  </si>
  <si>
    <t>Надточий Яна Ігорівна</t>
  </si>
  <si>
    <t>Каплієнко Ірина Миколаївна</t>
  </si>
  <si>
    <t>Євтушенко Оксана Ігорівна</t>
  </si>
  <si>
    <t>Полякова Олена Валеріївна</t>
  </si>
  <si>
    <t>Романова Олена Ігорівна</t>
  </si>
  <si>
    <t>Гусак Оксана Вікторівна</t>
  </si>
  <si>
    <t>Іванійчук Тетяна Володимирівна</t>
  </si>
  <si>
    <t>Каледіна Наталія Борисівна</t>
  </si>
  <si>
    <t>Мірошніченко Наталя Анатоліївна</t>
  </si>
  <si>
    <t>Жебровська Олена Віталіївна</t>
  </si>
  <si>
    <t>Потапова Любов Володимирівна</t>
  </si>
  <si>
    <t>Куйбеда Зоя Михайлівна</t>
  </si>
  <si>
    <t>Ткачова Олена Леонідівна</t>
  </si>
  <si>
    <t>Шибко Наталія Володимирівна</t>
  </si>
  <si>
    <t>Кайда Тетяна Михайлівна</t>
  </si>
  <si>
    <t>Каменева Марина Олександрівна</t>
  </si>
  <si>
    <t>Старусева Олена Володимирівна</t>
  </si>
  <si>
    <t>Броннікова Наталія Юріївна</t>
  </si>
  <si>
    <t>Пластун Оксана Володимирівна</t>
  </si>
  <si>
    <t>Іонова Ганна Вікторівна</t>
  </si>
  <si>
    <t xml:space="preserve">Чіп Наталя Романівна </t>
  </si>
  <si>
    <t>Папілова Наталія Вадимівна</t>
  </si>
  <si>
    <t>Легеза Олена Андріївна</t>
  </si>
  <si>
    <t>Широкова Інна Володимирівна</t>
  </si>
  <si>
    <t>Влазнєва Вікторія Олександрівна</t>
  </si>
  <si>
    <t>Боровська Оксана Андріївна</t>
  </si>
  <si>
    <t>Мостіпан Валентина Миколаївна</t>
  </si>
  <si>
    <t>Пелих Олена Володимирівна</t>
  </si>
  <si>
    <t>Лич Олена Олексіївна</t>
  </si>
  <si>
    <t>Лабунська Тетяна Валентинівна</t>
  </si>
  <si>
    <t>Коруна Марина Віталіївна</t>
  </si>
  <si>
    <t>Полтавець Ольга Володимирівна</t>
  </si>
  <si>
    <t>Тихоненко Ірина Володимирівна</t>
  </si>
  <si>
    <t>Озерна Олена Вікторівна</t>
  </si>
  <si>
    <t>Кравчук Валентина Василівна</t>
  </si>
  <si>
    <t>Зайцева Світлана Анатоліївна</t>
  </si>
  <si>
    <t>Середенко Марина Дмитрівна</t>
  </si>
  <si>
    <t>Міндель Ганна Олександрівна</t>
  </si>
  <si>
    <t>Білецька Тетяна Миколаївна</t>
  </si>
  <si>
    <t>Кузьменко Людмила Миколаївна</t>
  </si>
  <si>
    <t>Орлова Крестина Валеріївна</t>
  </si>
  <si>
    <t>Груздєва Світлана Леонідівна</t>
  </si>
  <si>
    <t>Школіна Лілія Іванівна</t>
  </si>
  <si>
    <t>Козак Тетяна Олександрівна</t>
  </si>
  <si>
    <t>Борисенко Діна Олександрівна</t>
  </si>
  <si>
    <t>Стрілецька Наталія Миколаївна</t>
  </si>
  <si>
    <t>Литвиненко Олена Олександрівна</t>
  </si>
  <si>
    <t>Каракова Людмила Вікторівна</t>
  </si>
  <si>
    <t xml:space="preserve">Мележик Тетяна Михайлівна </t>
  </si>
  <si>
    <t>6</t>
  </si>
  <si>
    <t>7</t>
  </si>
  <si>
    <t>доплата</t>
  </si>
  <si>
    <t>нараховано всього</t>
  </si>
  <si>
    <t>Тусін Станіслав Михайлович</t>
  </si>
  <si>
    <t>Мелешко Олександр Григорович</t>
  </si>
  <si>
    <t>Мелешко Кристина Констянтинівна</t>
  </si>
  <si>
    <t xml:space="preserve">Зайцева Оксана Іванівна </t>
  </si>
  <si>
    <t>Молодькова Оксана Іванівна</t>
  </si>
  <si>
    <t>Черкашина Юлія Марківна</t>
  </si>
  <si>
    <t>Бєлік Ірина Миколаївна</t>
  </si>
  <si>
    <t>Дьоміна Яна Романівна</t>
  </si>
  <si>
    <t>Чепурнова Тетяна Олексіївна</t>
  </si>
  <si>
    <t>Всього:</t>
  </si>
  <si>
    <t>за квітень 2026 року</t>
  </si>
  <si>
    <t>Ідентифікаційний код ЄДРПОУ 44413718</t>
  </si>
  <si>
    <t>ТОВ "М Фемелі Маркет"</t>
  </si>
  <si>
    <t xml:space="preserve">ПІБ
</t>
  </si>
  <si>
    <t>Директор Тусін С.М.</t>
  </si>
  <si>
    <t>"01" травня 2026р.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</si>
</sst>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</font>
    <font>
      <sz val="11"/>
      <color rgb="FF000000"/>
      <name val="Times New Roman"/>
    </font>
    <font>
      <sz val="14"/>
      <color rgb="FF000000"/>
      <name val="Times New Roman"/>
    </font>
    <font>
      <b/>
      <sz val="14"/>
      <color rgb="FF000000"/>
      <name val="Times New Roman"/>
    </font>
    <font>
      <sz val="8"/>
      <color rgb="FF000000"/>
      <name val="Times New Roman"/>
    </font>
    <font>
      <sz val="12"/>
      <color rgb="FF000000"/>
      <name val="Times New Roman"/>
    </font>
    <font>
      <sz val="10"/>
      <color rgb="FF000000"/>
      <name val="Times New Roman"/>
    </font>
    <font>
      <sz val="9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xfId="0" applyFill="1"/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6" fillId="0" borderId="0" xfId="0" applyNumberFormat="1" applyFont="1" applyFill="1" applyAlignment="1">
      <alignment horizontal="center"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/>
    <xf numFmtId="49" fontId="7" fillId="0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14" fontId="5" fillId="0" borderId="3" xfId="0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49" fontId="7" fillId="0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center" vertical="center"/>
    </xf>
    <xf numFmtId="1" fontId="10" fillId="0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0" fontId="12" fillId="0" borderId="0" xfId="0" applyFont="1" applyFill="1"/>
    <xf numFmtId="2" fontId="6" fillId="0" borderId="0" xfId="0" applyNumberFormat="1" applyFont="1" applyFill="1" applyAlignment="1">
      <alignment horizontal="center" vertical="center" wrapText="1"/>
    </xf>
    <xf numFmtId="49" fontId="13" fillId="0" borderId="0" xfId="0" applyNumberFormat="1" applyFont="1" applyFill="1" applyAlignment="1">
      <alignment horizontal="center"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left" vertical="center"/>
    </xf>
    <xf numFmtId="0" fontId="13" fillId="0" borderId="0" xfId="0" applyFont="1" applyFill="1" applyBorder="1"/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15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1" fontId="7" fillId="0" borderId="4" xfId="0" applyNumberFormat="1" applyFont="1" applyFill="1" applyBorder="1" applyAlignment="1">
      <alignment horizontal="center" vertical="center"/>
    </xf>
    <xf numFmtId="1" fontId="7" fillId="0" borderId="5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5" fillId="0" borderId="4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center" vertical="center"/>
    </xf>
    <xf numFmtId="1" fontId="7" fillId="0" borderId="2" xfId="0" applyNumberFormat="1" applyFont="1" applyFill="1" applyBorder="1" applyAlignment="1">
      <alignment horizontal="center" vertical="center"/>
    </xf>
    <xf numFmtId="49" fontId="1" fillId="0" borderId="10" xfId="0" applyNumberFormat="1" applyFont="1" applyFill="1" applyBorder="1" applyAlignment="1">
      <alignment horizontal="center" vertical="center" textRotation="90" wrapText="1"/>
    </xf>
    <xf numFmtId="49" fontId="1" fillId="0" borderId="12" xfId="0" applyNumberFormat="1" applyFont="1" applyFill="1" applyBorder="1" applyAlignment="1">
      <alignment horizontal="center" vertical="center" textRotation="90" wrapText="1"/>
    </xf>
    <xf numFmtId="49" fontId="1" fillId="0" borderId="11" xfId="0" applyNumberFormat="1" applyFont="1" applyFill="1" applyBorder="1" applyAlignment="1">
      <alignment horizontal="center" vertical="center" textRotation="90" wrapText="1"/>
    </xf>
    <xf numFmtId="49" fontId="5" fillId="0" borderId="4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49" fontId="13" fillId="0" borderId="4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textRotation="90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center" vertical="center" textRotation="90" wrapText="1"/>
    </xf>
    <xf numFmtId="49" fontId="5" fillId="0" borderId="10" xfId="0" applyNumberFormat="1" applyFont="1" applyFill="1" applyBorder="1" applyAlignment="1">
      <alignment horizontal="center" vertical="center" textRotation="90" wrapText="1"/>
    </xf>
    <xf numFmtId="49" fontId="1" fillId="0" borderId="4" xfId="0" applyNumberFormat="1" applyFont="1" applyFill="1" applyBorder="1" applyAlignment="1">
      <alignment horizontal="center" vertical="center" textRotation="90" wrapText="1"/>
    </xf>
    <xf numFmtId="49" fontId="1" fillId="0" borderId="7" xfId="0" applyNumberFormat="1" applyFont="1" applyFill="1" applyBorder="1" applyAlignment="1">
      <alignment horizontal="center" vertical="center" textRotation="90" wrapText="1"/>
    </xf>
    <xf numFmtId="49" fontId="1" fillId="0" borderId="8" xfId="0" applyNumberFormat="1" applyFont="1" applyFill="1" applyBorder="1" applyAlignment="1">
      <alignment horizontal="center" vertical="center" textRotation="90" wrapText="1"/>
    </xf>
    <xf numFmtId="49" fontId="1" fillId="0" borderId="9" xfId="0" applyNumberFormat="1" applyFont="1" applyFill="1" applyBorder="1" applyAlignment="1">
      <alignment horizontal="center" vertical="center" textRotation="90" wrapText="1"/>
    </xf>
    <xf numFmtId="49" fontId="7" fillId="0" borderId="2" xfId="0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1" fontId="11" fillId="0" borderId="4" xfId="0" applyNumberFormat="1" applyFont="1" applyFill="1" applyBorder="1" applyAlignment="1">
      <alignment horizontal="center" vertical="center"/>
    </xf>
    <xf numFmtId="1" fontId="11" fillId="0" borderId="5" xfId="0" applyNumberFormat="1" applyFont="1" applyFill="1" applyBorder="1" applyAlignment="1">
      <alignment horizontal="center" vertical="center"/>
    </xf>
    <xf numFmtId="49" fontId="15" fillId="0" borderId="4" xfId="0" applyNumberFormat="1" applyFont="1" applyFill="1" applyBorder="1" applyAlignment="1">
      <alignment horizontal="left" vertical="center"/>
    </xf>
    <xf numFmtId="49" fontId="15" fillId="0" borderId="5" xfId="0" applyNumberFormat="1" applyFont="1" applyFill="1" applyBorder="1" applyAlignment="1">
      <alignment horizontal="left" vertical="center"/>
    </xf>
    <xf numFmtId="0" fontId="15" fillId="0" borderId="5" xfId="0" applyFont="1" applyFill="1" applyBorder="1" applyAlignment="1">
      <alignment horizontal="left" vertical="center"/>
    </xf>
    <xf numFmtId="2" fontId="10" fillId="0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textRotation="90"/>
    </xf>
    <xf numFmtId="0" fontId="0" fillId="0" borderId="1" xfId="0" applyFill="1" applyBorder="1" applyAlignment="1">
      <alignment horizontal="center" textRotation="90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AF02-82AA-4DE7-B928-7E52DA4E2BFB}">
  <dimension ref="A1:AP200"/>
  <sheetViews>
    <sheetView tabSelected="1" topLeftCell="A122" workbookViewId="0">
      <selection activeCell="AC151" sqref="AC151"/>
    </sheetView>
  </sheetViews>
  <sheetFormatPr defaultRowHeight="14.4" x14ac:dyDescent="0.3"/>
  <cols>
    <col min="1" max="1" width="2.6640625" style="3" customWidth="1"/>
    <col min="2" max="2" width="40.33203125" style="3" customWidth="1"/>
    <col min="3" max="3" width="3.21875" style="3" bestFit="1" customWidth="1"/>
    <col min="4" max="18" width="3.33203125" style="3" customWidth="1"/>
    <col min="19" max="19" width="9.33203125" style="3" customWidth="1"/>
    <col min="20" max="20" width="2.88671875" style="3" customWidth="1"/>
    <col min="21" max="21" width="12.21875" style="3" customWidth="1"/>
    <col min="22" max="22" width="10.33203125" customWidth="1"/>
    <col min="23" max="23" width="13.88671875" customWidth="1"/>
  </cols>
  <sheetData>
    <row r="1" spans="1:30" ht="0.75" customHeight="1" x14ac:dyDescent="0.3">
      <c r="V1" s="25"/>
      <c r="W1" s="25"/>
      <c r="X1" s="25"/>
      <c r="Y1" s="25"/>
      <c r="Z1" s="25"/>
      <c r="AA1" s="25"/>
      <c r="AB1" s="25"/>
      <c r="AC1" s="25"/>
      <c r="AD1" s="25"/>
    </row>
    <row r="2" spans="1:30" ht="0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25"/>
      <c r="W2" s="25"/>
      <c r="X2" s="25"/>
      <c r="Y2" s="25"/>
      <c r="Z2" s="25"/>
      <c r="AA2" s="25"/>
      <c r="AB2" s="25"/>
      <c r="AC2" s="25"/>
      <c r="AD2" s="25"/>
    </row>
    <row r="3" spans="1:30" ht="0.7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25"/>
      <c r="W3" s="25"/>
      <c r="X3" s="25"/>
      <c r="Y3" s="25"/>
      <c r="Z3" s="25"/>
      <c r="AA3" s="25"/>
      <c r="AB3" s="25"/>
      <c r="AC3" s="25"/>
      <c r="AD3" s="25"/>
    </row>
    <row r="4" spans="1:30" ht="0.75" customHeight="1" x14ac:dyDescent="0.3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25"/>
      <c r="W4" s="25"/>
      <c r="X4" s="25"/>
      <c r="Y4" s="25"/>
      <c r="Z4" s="25"/>
      <c r="AA4" s="25"/>
      <c r="AB4" s="25"/>
      <c r="AC4" s="25"/>
      <c r="AD4" s="25"/>
    </row>
    <row r="5" spans="1:30" s="38" customFormat="1" ht="19.5" customHeight="1" x14ac:dyDescent="0.3">
      <c r="A5" s="21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21"/>
      <c r="U5" s="21"/>
      <c r="V5" s="39"/>
      <c r="W5" s="39"/>
      <c r="X5" s="39"/>
      <c r="Y5" s="39"/>
      <c r="Z5" s="39"/>
      <c r="AA5" s="39"/>
      <c r="AB5" s="39"/>
      <c r="AC5" s="39"/>
      <c r="AD5" s="39"/>
    </row>
    <row r="6" spans="1:30" s="38" customFormat="1" ht="12" customHeight="1" x14ac:dyDescent="0.3">
      <c r="A6" s="45" t="s">
        <v>129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2"/>
      <c r="U6" s="21"/>
      <c r="V6" s="39"/>
      <c r="W6" s="39"/>
      <c r="X6" s="39"/>
      <c r="Y6" s="39"/>
      <c r="Z6" s="39"/>
      <c r="AA6" s="39"/>
      <c r="AB6" s="39"/>
      <c r="AC6" s="39"/>
      <c r="AD6" s="39"/>
    </row>
    <row r="7" spans="1:30" ht="17.25" customHeight="1" x14ac:dyDescent="0.3">
      <c r="A7" s="44" t="s">
        <v>128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19"/>
    </row>
    <row r="8" spans="1:30" ht="17.25" customHeight="1" x14ac:dyDescent="0.35">
      <c r="A8" s="4"/>
      <c r="J8" s="6" t="s">
        <v>0</v>
      </c>
    </row>
    <row r="9" spans="1:30" ht="17.25" customHeight="1" x14ac:dyDescent="0.3">
      <c r="B9" s="5"/>
      <c r="J9" s="43" t="s">
        <v>127</v>
      </c>
    </row>
    <row r="10" spans="1:30" ht="2.25" customHeight="1" x14ac:dyDescent="0.3">
      <c r="A10" s="14"/>
      <c r="B10" s="5"/>
      <c r="C10" s="14"/>
      <c r="D10" s="14"/>
      <c r="E10" s="14"/>
      <c r="F10" s="14"/>
      <c r="G10" s="14"/>
      <c r="H10" s="14"/>
      <c r="I10" s="14"/>
      <c r="J10" s="17"/>
      <c r="K10" s="14"/>
      <c r="L10" s="14"/>
      <c r="M10" s="14"/>
      <c r="N10" s="14"/>
      <c r="O10" s="14"/>
      <c r="P10" s="14"/>
      <c r="Q10" s="14"/>
      <c r="R10" s="14"/>
      <c r="S10" s="14"/>
      <c r="T10" s="21"/>
      <c r="U10" s="20"/>
    </row>
    <row r="11" spans="1:30" ht="14.25" customHeight="1" x14ac:dyDescent="0.3">
      <c r="A11" s="71" t="s">
        <v>1</v>
      </c>
      <c r="B11" s="70" t="s">
        <v>130</v>
      </c>
      <c r="C11" s="72" t="s">
        <v>2</v>
      </c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46" t="s">
        <v>3</v>
      </c>
      <c r="T11" s="75" t="s">
        <v>34</v>
      </c>
      <c r="U11" s="73" t="s">
        <v>35</v>
      </c>
      <c r="V11" s="91" t="s">
        <v>115</v>
      </c>
      <c r="W11" s="91" t="s">
        <v>116</v>
      </c>
    </row>
    <row r="12" spans="1:30" ht="24.6" customHeight="1" x14ac:dyDescent="0.3">
      <c r="A12" s="71"/>
      <c r="B12" s="68"/>
      <c r="C12" s="67" t="s">
        <v>4</v>
      </c>
      <c r="D12" s="67" t="s">
        <v>5</v>
      </c>
      <c r="E12" s="67" t="s">
        <v>6</v>
      </c>
      <c r="F12" s="67" t="s">
        <v>7</v>
      </c>
      <c r="G12" s="67" t="s">
        <v>8</v>
      </c>
      <c r="H12" s="67" t="s">
        <v>9</v>
      </c>
      <c r="I12" s="67" t="s">
        <v>10</v>
      </c>
      <c r="J12" s="67" t="s">
        <v>11</v>
      </c>
      <c r="K12" s="67" t="s">
        <v>12</v>
      </c>
      <c r="L12" s="67">
        <v>10</v>
      </c>
      <c r="M12" s="67">
        <v>11</v>
      </c>
      <c r="N12" s="67">
        <v>12</v>
      </c>
      <c r="O12" s="67">
        <v>13</v>
      </c>
      <c r="P12" s="67">
        <v>14</v>
      </c>
      <c r="Q12" s="67">
        <v>15</v>
      </c>
      <c r="R12" s="67" t="s">
        <v>13</v>
      </c>
      <c r="S12" s="47"/>
      <c r="T12" s="76"/>
      <c r="U12" s="73"/>
      <c r="V12" s="92"/>
      <c r="W12" s="92"/>
    </row>
    <row r="13" spans="1:30" ht="14.25" customHeight="1" x14ac:dyDescent="0.3">
      <c r="A13" s="71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47"/>
      <c r="T13" s="76"/>
      <c r="U13" s="73"/>
      <c r="V13" s="92"/>
      <c r="W13" s="92"/>
    </row>
    <row r="14" spans="1:30" ht="14.25" customHeight="1" x14ac:dyDescent="0.3">
      <c r="A14" s="71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47"/>
      <c r="T14" s="76"/>
      <c r="U14" s="73"/>
      <c r="V14" s="92"/>
      <c r="W14" s="92"/>
    </row>
    <row r="15" spans="1:30" ht="14.25" customHeight="1" x14ac:dyDescent="0.3">
      <c r="A15" s="71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48"/>
      <c r="T15" s="76"/>
      <c r="U15" s="73"/>
      <c r="V15" s="92"/>
      <c r="W15" s="92"/>
    </row>
    <row r="16" spans="1:30" ht="14.25" customHeight="1" x14ac:dyDescent="0.3">
      <c r="A16" s="71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75" t="s">
        <v>14</v>
      </c>
      <c r="T16" s="76"/>
      <c r="U16" s="73"/>
      <c r="V16" s="92"/>
      <c r="W16" s="92"/>
    </row>
    <row r="17" spans="1:42" ht="14.25" customHeight="1" x14ac:dyDescent="0.3">
      <c r="A17" s="71"/>
      <c r="B17" s="68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76"/>
      <c r="T17" s="76"/>
      <c r="U17" s="73"/>
      <c r="V17" s="92"/>
      <c r="W17" s="92"/>
    </row>
    <row r="18" spans="1:42" ht="14.25" customHeight="1" x14ac:dyDescent="0.3">
      <c r="A18" s="71"/>
      <c r="B18" s="68"/>
      <c r="C18" s="67" t="s">
        <v>15</v>
      </c>
      <c r="D18" s="67" t="s">
        <v>16</v>
      </c>
      <c r="E18" s="67" t="s">
        <v>17</v>
      </c>
      <c r="F18" s="67" t="s">
        <v>18</v>
      </c>
      <c r="G18" s="67" t="s">
        <v>19</v>
      </c>
      <c r="H18" s="67" t="s">
        <v>20</v>
      </c>
      <c r="I18" s="67" t="s">
        <v>21</v>
      </c>
      <c r="J18" s="67" t="s">
        <v>22</v>
      </c>
      <c r="K18" s="67" t="s">
        <v>23</v>
      </c>
      <c r="L18" s="67" t="s">
        <v>24</v>
      </c>
      <c r="M18" s="67" t="s">
        <v>25</v>
      </c>
      <c r="N18" s="67" t="s">
        <v>26</v>
      </c>
      <c r="O18" s="67" t="s">
        <v>27</v>
      </c>
      <c r="P18" s="67">
        <v>29</v>
      </c>
      <c r="Q18" s="67">
        <v>30</v>
      </c>
      <c r="R18" s="67">
        <v>31</v>
      </c>
      <c r="S18" s="76"/>
      <c r="T18" s="76"/>
      <c r="U18" s="73"/>
      <c r="V18" s="92"/>
      <c r="W18" s="92"/>
    </row>
    <row r="19" spans="1:42" ht="14.25" customHeight="1" x14ac:dyDescent="0.3">
      <c r="A19" s="71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6"/>
      <c r="T19" s="77"/>
      <c r="U19" s="73"/>
      <c r="V19" s="92"/>
      <c r="W19" s="92"/>
    </row>
    <row r="20" spans="1:42" ht="14.25" customHeight="1" x14ac:dyDescent="0.3">
      <c r="A20" s="71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4" t="s">
        <v>28</v>
      </c>
      <c r="T20" s="77"/>
      <c r="U20" s="73"/>
      <c r="V20" s="92"/>
      <c r="W20" s="92"/>
    </row>
    <row r="21" spans="1:42" ht="14.25" customHeight="1" x14ac:dyDescent="0.3">
      <c r="A21" s="71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5"/>
      <c r="T21" s="77"/>
      <c r="U21" s="73"/>
      <c r="V21" s="92"/>
      <c r="W21" s="92"/>
      <c r="Y21" s="14"/>
      <c r="Z21" s="14"/>
      <c r="AA21" s="14"/>
      <c r="AB21" s="14"/>
      <c r="AC21" s="14"/>
      <c r="AD21" s="14"/>
      <c r="AE21" s="14"/>
      <c r="AF21" s="14"/>
      <c r="AG21" s="6"/>
      <c r="AH21" s="14"/>
      <c r="AI21" s="14"/>
      <c r="AJ21" s="14"/>
      <c r="AK21" s="14"/>
      <c r="AL21" s="14"/>
      <c r="AM21" s="14"/>
      <c r="AN21" s="14"/>
      <c r="AO21" s="14"/>
      <c r="AP21" s="14"/>
    </row>
    <row r="22" spans="1:42" ht="14.25" customHeight="1" x14ac:dyDescent="0.3">
      <c r="A22" s="71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5"/>
      <c r="T22" s="77"/>
      <c r="U22" s="73"/>
      <c r="V22" s="92"/>
      <c r="W22" s="92"/>
    </row>
    <row r="23" spans="1:42" ht="14.25" customHeight="1" x14ac:dyDescent="0.3">
      <c r="A23" s="71"/>
      <c r="B23" s="69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9"/>
      <c r="Q23" s="69"/>
      <c r="R23" s="69"/>
      <c r="S23" s="66"/>
      <c r="T23" s="78"/>
      <c r="U23" s="74"/>
      <c r="V23" s="92"/>
      <c r="W23" s="92"/>
    </row>
    <row r="24" spans="1:42" s="14" customFormat="1" ht="14.25" customHeight="1" x14ac:dyDescent="0.25">
      <c r="A24" s="79">
        <v>1</v>
      </c>
      <c r="B24" s="84" t="s">
        <v>38</v>
      </c>
      <c r="C24" s="31" t="s">
        <v>32</v>
      </c>
      <c r="D24" s="29" t="s">
        <v>32</v>
      </c>
      <c r="E24" s="29" t="s">
        <v>32</v>
      </c>
      <c r="F24" s="29" t="s">
        <v>32</v>
      </c>
      <c r="G24" s="29" t="s">
        <v>32</v>
      </c>
      <c r="H24" s="7"/>
      <c r="I24" s="7"/>
      <c r="J24" s="29" t="s">
        <v>32</v>
      </c>
      <c r="K24" s="29" t="s">
        <v>32</v>
      </c>
      <c r="L24" s="29" t="s">
        <v>32</v>
      </c>
      <c r="M24" s="29" t="s">
        <v>32</v>
      </c>
      <c r="N24" s="29" t="s">
        <v>32</v>
      </c>
      <c r="O24" s="7"/>
      <c r="P24" s="7"/>
      <c r="Q24" s="31" t="s">
        <v>36</v>
      </c>
      <c r="R24" s="7"/>
      <c r="S24" s="15" t="s">
        <v>21</v>
      </c>
      <c r="T24" s="15" t="s">
        <v>31</v>
      </c>
      <c r="U24" s="55">
        <f>S25*104</f>
        <v>8996</v>
      </c>
      <c r="V24" s="87">
        <v>4</v>
      </c>
      <c r="W24" s="87">
        <f>U24+V24</f>
        <v>9000</v>
      </c>
    </row>
    <row r="25" spans="1:42" s="14" customFormat="1" ht="14.25" customHeight="1" x14ac:dyDescent="0.25">
      <c r="A25" s="79"/>
      <c r="B25" s="85"/>
      <c r="C25" s="7" t="s">
        <v>32</v>
      </c>
      <c r="D25" s="7" t="s">
        <v>32</v>
      </c>
      <c r="E25" s="7" t="s">
        <v>32</v>
      </c>
      <c r="F25" s="31" t="s">
        <v>37</v>
      </c>
      <c r="G25" s="7"/>
      <c r="H25" s="7"/>
      <c r="I25" s="7" t="s">
        <v>32</v>
      </c>
      <c r="J25" s="7" t="s">
        <v>32</v>
      </c>
      <c r="K25" s="7" t="s">
        <v>32</v>
      </c>
      <c r="L25" s="7" t="s">
        <v>32</v>
      </c>
      <c r="M25" s="7" t="s">
        <v>32</v>
      </c>
      <c r="N25" s="7"/>
      <c r="O25" s="7"/>
      <c r="P25" s="7" t="s">
        <v>32</v>
      </c>
      <c r="Q25" s="7" t="s">
        <v>32</v>
      </c>
      <c r="R25" s="7"/>
      <c r="S25" s="30">
        <f>C24+D24+E24+F24+G24+H24+I24+J24+K24+L24+M24+N24+O24+P24+Q24+C25+D25+E25+F25+G25+H25+I25+J25+K25+L25+M25+N25+O25+P25+Q25+R25</f>
        <v>86.5</v>
      </c>
      <c r="T25" s="15"/>
      <c r="U25" s="56"/>
      <c r="V25" s="87"/>
      <c r="W25" s="87"/>
    </row>
    <row r="26" spans="1:42" ht="14.25" customHeight="1" x14ac:dyDescent="0.3">
      <c r="A26" s="63">
        <f>A24+1</f>
        <v>2</v>
      </c>
      <c r="B26" s="61" t="s">
        <v>39</v>
      </c>
      <c r="C26" s="31"/>
      <c r="D26" s="29"/>
      <c r="E26" s="29" t="s">
        <v>32</v>
      </c>
      <c r="F26" s="29" t="s">
        <v>32</v>
      </c>
      <c r="G26" s="33" t="s">
        <v>32</v>
      </c>
      <c r="H26" s="31" t="s">
        <v>32</v>
      </c>
      <c r="I26" s="31" t="s">
        <v>37</v>
      </c>
      <c r="J26" s="29"/>
      <c r="K26" s="29"/>
      <c r="L26" s="29" t="s">
        <v>32</v>
      </c>
      <c r="M26" s="29" t="s">
        <v>32</v>
      </c>
      <c r="N26" s="29" t="s">
        <v>32</v>
      </c>
      <c r="O26" s="31" t="s">
        <v>32</v>
      </c>
      <c r="P26" s="31" t="s">
        <v>36</v>
      </c>
      <c r="Q26" s="31"/>
      <c r="R26" s="27"/>
      <c r="S26" s="22" t="s">
        <v>21</v>
      </c>
      <c r="T26" s="22" t="s">
        <v>31</v>
      </c>
      <c r="U26" s="55">
        <f>S27*104</f>
        <v>8996</v>
      </c>
      <c r="V26" s="87">
        <v>4</v>
      </c>
      <c r="W26" s="87">
        <f>U26+V26</f>
        <v>9000</v>
      </c>
    </row>
    <row r="27" spans="1:42" ht="14.25" customHeight="1" x14ac:dyDescent="0.3">
      <c r="A27" s="63"/>
      <c r="B27" s="86"/>
      <c r="C27" s="27"/>
      <c r="D27" s="27" t="s">
        <v>32</v>
      </c>
      <c r="E27" s="27" t="s">
        <v>32</v>
      </c>
      <c r="F27" s="31" t="s">
        <v>32</v>
      </c>
      <c r="G27" s="27"/>
      <c r="H27" s="31" t="s">
        <v>32</v>
      </c>
      <c r="I27" s="27" t="s">
        <v>32</v>
      </c>
      <c r="J27" s="27" t="s">
        <v>32</v>
      </c>
      <c r="K27" s="27" t="s">
        <v>32</v>
      </c>
      <c r="L27" s="27"/>
      <c r="M27" s="27" t="s">
        <v>32</v>
      </c>
      <c r="N27" s="31" t="s">
        <v>32</v>
      </c>
      <c r="O27" s="31" t="s">
        <v>32</v>
      </c>
      <c r="P27" s="27" t="s">
        <v>32</v>
      </c>
      <c r="Q27" s="27" t="s">
        <v>32</v>
      </c>
      <c r="R27" s="27"/>
      <c r="S27" s="30">
        <f>C26+D26+E26+F26+G26+H26+I26+J26+K26+L26+M26+N26+O26+P26+Q26+C27+D27+E27+F27+G27+H27+I27+J27+K27+L27+M27+N27+O27+P27+Q27+R27</f>
        <v>86.5</v>
      </c>
      <c r="T27" s="22"/>
      <c r="U27" s="56"/>
      <c r="V27" s="87"/>
      <c r="W27" s="87"/>
    </row>
    <row r="28" spans="1:42" ht="14.25" customHeight="1" x14ac:dyDescent="0.3">
      <c r="A28" s="57">
        <f>A26+1</f>
        <v>3</v>
      </c>
      <c r="B28" s="59" t="s">
        <v>40</v>
      </c>
      <c r="C28" s="31"/>
      <c r="D28" s="33" t="s">
        <v>37</v>
      </c>
      <c r="E28" s="29" t="s">
        <v>32</v>
      </c>
      <c r="F28" s="29" t="s">
        <v>32</v>
      </c>
      <c r="G28" s="33" t="s">
        <v>32</v>
      </c>
      <c r="H28" s="31" t="s">
        <v>32</v>
      </c>
      <c r="I28" s="31"/>
      <c r="J28" s="29"/>
      <c r="K28" s="29"/>
      <c r="L28" s="29" t="s">
        <v>32</v>
      </c>
      <c r="M28" s="29" t="s">
        <v>32</v>
      </c>
      <c r="N28" s="29" t="s">
        <v>32</v>
      </c>
      <c r="O28" s="31" t="s">
        <v>32</v>
      </c>
      <c r="P28" s="31" t="s">
        <v>36</v>
      </c>
      <c r="Q28" s="31"/>
      <c r="R28" s="27"/>
      <c r="S28" s="22" t="s">
        <v>21</v>
      </c>
      <c r="T28" s="22" t="s">
        <v>31</v>
      </c>
      <c r="U28" s="55">
        <f>S29*104</f>
        <v>8996</v>
      </c>
      <c r="V28" s="87">
        <v>4</v>
      </c>
      <c r="W28" s="87">
        <f>U28+V28</f>
        <v>9000</v>
      </c>
    </row>
    <row r="29" spans="1:42" ht="14.25" customHeight="1" x14ac:dyDescent="0.3">
      <c r="A29" s="58"/>
      <c r="B29" s="60"/>
      <c r="C29" s="31" t="s">
        <v>32</v>
      </c>
      <c r="D29" s="27" t="s">
        <v>32</v>
      </c>
      <c r="E29" s="27" t="s">
        <v>32</v>
      </c>
      <c r="F29" s="31" t="s">
        <v>32</v>
      </c>
      <c r="G29" s="27"/>
      <c r="H29" s="31" t="s">
        <v>32</v>
      </c>
      <c r="I29" s="27" t="s">
        <v>32</v>
      </c>
      <c r="J29" s="27" t="s">
        <v>32</v>
      </c>
      <c r="K29" s="27" t="s">
        <v>32</v>
      </c>
      <c r="L29" s="27"/>
      <c r="M29" s="27" t="s">
        <v>32</v>
      </c>
      <c r="N29" s="31" t="s">
        <v>32</v>
      </c>
      <c r="O29" s="31" t="s">
        <v>32</v>
      </c>
      <c r="P29" s="27" t="s">
        <v>32</v>
      </c>
      <c r="Q29" s="27"/>
      <c r="R29" s="27"/>
      <c r="S29" s="30">
        <f>C28+D28+E28+F28+G28+H28+I28+J28+K28+L28+M28+N28+O28+P28+Q28+C29+D29+E29+F29+G29+H29+I29+J29+K29+L29+M29+N29+O29+P29+Q29+R29</f>
        <v>86.5</v>
      </c>
      <c r="T29" s="22"/>
      <c r="U29" s="56"/>
      <c r="V29" s="87"/>
      <c r="W29" s="87"/>
    </row>
    <row r="30" spans="1:42" ht="14.25" customHeight="1" x14ac:dyDescent="0.3">
      <c r="A30" s="57">
        <f>A28+1</f>
        <v>4</v>
      </c>
      <c r="B30" s="59" t="s">
        <v>41</v>
      </c>
      <c r="C30" s="31" t="s">
        <v>32</v>
      </c>
      <c r="D30" s="29" t="s">
        <v>32</v>
      </c>
      <c r="E30" s="33" t="s">
        <v>36</v>
      </c>
      <c r="F30" s="29" t="s">
        <v>32</v>
      </c>
      <c r="G30" s="29" t="s">
        <v>32</v>
      </c>
      <c r="H30" s="27"/>
      <c r="I30" s="27"/>
      <c r="J30" s="29" t="s">
        <v>32</v>
      </c>
      <c r="K30" s="29" t="s">
        <v>32</v>
      </c>
      <c r="L30" s="29" t="s">
        <v>32</v>
      </c>
      <c r="M30" s="29" t="s">
        <v>32</v>
      </c>
      <c r="N30" s="29" t="s">
        <v>32</v>
      </c>
      <c r="O30" s="27"/>
      <c r="P30" s="27"/>
      <c r="Q30" s="31" t="s">
        <v>32</v>
      </c>
      <c r="R30" s="27"/>
      <c r="S30" s="22" t="s">
        <v>21</v>
      </c>
      <c r="T30" s="22" t="s">
        <v>31</v>
      </c>
      <c r="U30" s="55">
        <f>S31*104</f>
        <v>8996</v>
      </c>
      <c r="V30" s="87">
        <v>4</v>
      </c>
      <c r="W30" s="87">
        <f>U30+V30</f>
        <v>9000</v>
      </c>
    </row>
    <row r="31" spans="1:42" ht="14.25" customHeight="1" x14ac:dyDescent="0.3">
      <c r="A31" s="58"/>
      <c r="B31" s="60"/>
      <c r="C31" s="31" t="s">
        <v>37</v>
      </c>
      <c r="D31" s="27" t="s">
        <v>32</v>
      </c>
      <c r="E31" s="27" t="s">
        <v>32</v>
      </c>
      <c r="F31" s="31" t="s">
        <v>32</v>
      </c>
      <c r="G31" s="27"/>
      <c r="H31" s="27"/>
      <c r="I31" s="27" t="s">
        <v>32</v>
      </c>
      <c r="J31" s="27" t="s">
        <v>32</v>
      </c>
      <c r="K31" s="27" t="s">
        <v>32</v>
      </c>
      <c r="L31" s="27" t="s">
        <v>32</v>
      </c>
      <c r="M31" s="27" t="s">
        <v>32</v>
      </c>
      <c r="N31" s="27"/>
      <c r="O31" s="27"/>
      <c r="P31" s="27" t="s">
        <v>32</v>
      </c>
      <c r="Q31" s="27" t="s">
        <v>32</v>
      </c>
      <c r="R31" s="27"/>
      <c r="S31" s="30">
        <f>C30+D30+E30+F30+G30+H30+I30+J30+K30+L30+M30+N30+O30+P30+Q30+C31+D31+E31+F31+G31+H31+I31+J31+K31+L31+M31+N31+O31+P31+Q31+R31</f>
        <v>86.5</v>
      </c>
      <c r="T31" s="22"/>
      <c r="U31" s="56"/>
      <c r="V31" s="87"/>
      <c r="W31" s="87"/>
    </row>
    <row r="32" spans="1:42" ht="14.25" customHeight="1" x14ac:dyDescent="0.3">
      <c r="A32" s="57">
        <f>A30+1</f>
        <v>5</v>
      </c>
      <c r="B32" s="59" t="s">
        <v>42</v>
      </c>
      <c r="C32" s="31"/>
      <c r="D32" s="29"/>
      <c r="E32" s="29" t="s">
        <v>32</v>
      </c>
      <c r="F32" s="29" t="s">
        <v>32</v>
      </c>
      <c r="G32" s="33" t="s">
        <v>32</v>
      </c>
      <c r="H32" s="31" t="s">
        <v>32</v>
      </c>
      <c r="I32" s="31" t="s">
        <v>37</v>
      </c>
      <c r="J32" s="29"/>
      <c r="K32" s="29"/>
      <c r="L32" s="29" t="s">
        <v>32</v>
      </c>
      <c r="M32" s="29" t="s">
        <v>32</v>
      </c>
      <c r="N32" s="29" t="s">
        <v>32</v>
      </c>
      <c r="O32" s="31" t="s">
        <v>32</v>
      </c>
      <c r="P32" s="31" t="s">
        <v>36</v>
      </c>
      <c r="Q32" s="31"/>
      <c r="R32" s="27"/>
      <c r="S32" s="22" t="s">
        <v>21</v>
      </c>
      <c r="T32" s="22" t="s">
        <v>31</v>
      </c>
      <c r="U32" s="55">
        <f>S33*104</f>
        <v>8996</v>
      </c>
      <c r="V32" s="87">
        <v>4</v>
      </c>
      <c r="W32" s="87">
        <f>U32+V32</f>
        <v>9000</v>
      </c>
    </row>
    <row r="33" spans="1:23" ht="14.25" customHeight="1" x14ac:dyDescent="0.3">
      <c r="A33" s="58"/>
      <c r="B33" s="60"/>
      <c r="C33" s="27"/>
      <c r="D33" s="27" t="s">
        <v>32</v>
      </c>
      <c r="E33" s="27" t="s">
        <v>32</v>
      </c>
      <c r="F33" s="31" t="s">
        <v>32</v>
      </c>
      <c r="G33" s="27"/>
      <c r="H33" s="31" t="s">
        <v>32</v>
      </c>
      <c r="I33" s="27" t="s">
        <v>32</v>
      </c>
      <c r="J33" s="27" t="s">
        <v>32</v>
      </c>
      <c r="K33" s="27" t="s">
        <v>32</v>
      </c>
      <c r="L33" s="27"/>
      <c r="M33" s="27" t="s">
        <v>32</v>
      </c>
      <c r="N33" s="31" t="s">
        <v>32</v>
      </c>
      <c r="O33" s="31" t="s">
        <v>32</v>
      </c>
      <c r="P33" s="27" t="s">
        <v>32</v>
      </c>
      <c r="Q33" s="27" t="s">
        <v>32</v>
      </c>
      <c r="R33" s="27"/>
      <c r="S33" s="30">
        <f>C32+D32+E32+F32+G32+H32+I32+J32+K32+L32+M32+N32+O32+P32+Q32+C33+D33+E33+F33+G33+H33+I33+J33+K33+L33+M33+N33+O33+P33+Q33+R33</f>
        <v>86.5</v>
      </c>
      <c r="T33" s="22"/>
      <c r="U33" s="56"/>
      <c r="V33" s="87"/>
      <c r="W33" s="87"/>
    </row>
    <row r="34" spans="1:23" ht="14.25" customHeight="1" x14ac:dyDescent="0.3">
      <c r="A34" s="57">
        <f>A32+1</f>
        <v>6</v>
      </c>
      <c r="B34" s="59" t="s">
        <v>43</v>
      </c>
      <c r="C34" s="31" t="s">
        <v>32</v>
      </c>
      <c r="D34" s="29" t="s">
        <v>32</v>
      </c>
      <c r="E34" s="29" t="s">
        <v>32</v>
      </c>
      <c r="F34" s="29" t="s">
        <v>32</v>
      </c>
      <c r="G34" s="29" t="s">
        <v>32</v>
      </c>
      <c r="H34" s="27"/>
      <c r="I34" s="27"/>
      <c r="J34" s="29" t="s">
        <v>32</v>
      </c>
      <c r="K34" s="29" t="s">
        <v>32</v>
      </c>
      <c r="L34" s="29" t="s">
        <v>32</v>
      </c>
      <c r="M34" s="29" t="s">
        <v>32</v>
      </c>
      <c r="N34" s="29" t="s">
        <v>32</v>
      </c>
      <c r="O34" s="27"/>
      <c r="P34" s="27"/>
      <c r="Q34" s="31" t="s">
        <v>36</v>
      </c>
      <c r="R34" s="27"/>
      <c r="S34" s="22" t="s">
        <v>21</v>
      </c>
      <c r="T34" s="22" t="s">
        <v>31</v>
      </c>
      <c r="U34" s="55">
        <f>S35*104</f>
        <v>8996</v>
      </c>
      <c r="V34" s="87">
        <v>4</v>
      </c>
      <c r="W34" s="87">
        <f>U34+V34</f>
        <v>9000</v>
      </c>
    </row>
    <row r="35" spans="1:23" ht="14.25" customHeight="1" x14ac:dyDescent="0.3">
      <c r="A35" s="58"/>
      <c r="B35" s="60"/>
      <c r="C35" s="27" t="s">
        <v>32</v>
      </c>
      <c r="D35" s="27" t="s">
        <v>32</v>
      </c>
      <c r="E35" s="27" t="s">
        <v>32</v>
      </c>
      <c r="F35" s="31" t="s">
        <v>37</v>
      </c>
      <c r="G35" s="27"/>
      <c r="H35" s="27"/>
      <c r="I35" s="27" t="s">
        <v>32</v>
      </c>
      <c r="J35" s="27" t="s">
        <v>32</v>
      </c>
      <c r="K35" s="27" t="s">
        <v>32</v>
      </c>
      <c r="L35" s="27" t="s">
        <v>32</v>
      </c>
      <c r="M35" s="27" t="s">
        <v>32</v>
      </c>
      <c r="N35" s="27"/>
      <c r="O35" s="27"/>
      <c r="P35" s="27" t="s">
        <v>32</v>
      </c>
      <c r="Q35" s="27" t="s">
        <v>32</v>
      </c>
      <c r="R35" s="27"/>
      <c r="S35" s="30">
        <f>C34+D34+E34+F34+G34+H34+I34+J34+K34+L34+M34+N34+O34+P34+Q34+C35+D35+E35+F35+G35+H35+I35+J35+K35+L35+M35+N35+O35+P35+Q35+R35</f>
        <v>86.5</v>
      </c>
      <c r="T35" s="22"/>
      <c r="U35" s="56"/>
      <c r="V35" s="87"/>
      <c r="W35" s="87"/>
    </row>
    <row r="36" spans="1:23" ht="14.25" customHeight="1" x14ac:dyDescent="0.3">
      <c r="A36" s="57">
        <f>A34+1</f>
        <v>7</v>
      </c>
      <c r="B36" s="59" t="s">
        <v>44</v>
      </c>
      <c r="C36" s="31"/>
      <c r="D36" s="29"/>
      <c r="E36" s="29" t="s">
        <v>32</v>
      </c>
      <c r="F36" s="29" t="s">
        <v>32</v>
      </c>
      <c r="G36" s="33" t="s">
        <v>32</v>
      </c>
      <c r="H36" s="31" t="s">
        <v>32</v>
      </c>
      <c r="I36" s="31" t="s">
        <v>37</v>
      </c>
      <c r="J36" s="29"/>
      <c r="K36" s="29"/>
      <c r="L36" s="29" t="s">
        <v>32</v>
      </c>
      <c r="M36" s="29" t="s">
        <v>32</v>
      </c>
      <c r="N36" s="29" t="s">
        <v>32</v>
      </c>
      <c r="O36" s="31" t="s">
        <v>32</v>
      </c>
      <c r="P36" s="31" t="s">
        <v>36</v>
      </c>
      <c r="Q36" s="31"/>
      <c r="R36" s="27"/>
      <c r="S36" s="22" t="s">
        <v>21</v>
      </c>
      <c r="T36" s="22" t="s">
        <v>31</v>
      </c>
      <c r="U36" s="55">
        <f>S37*104</f>
        <v>8996</v>
      </c>
      <c r="V36" s="87">
        <v>4</v>
      </c>
      <c r="W36" s="87">
        <f>U36+V36</f>
        <v>9000</v>
      </c>
    </row>
    <row r="37" spans="1:23" ht="14.25" customHeight="1" x14ac:dyDescent="0.3">
      <c r="A37" s="58"/>
      <c r="B37" s="60"/>
      <c r="C37" s="27"/>
      <c r="D37" s="27" t="s">
        <v>32</v>
      </c>
      <c r="E37" s="27" t="s">
        <v>32</v>
      </c>
      <c r="F37" s="31" t="s">
        <v>32</v>
      </c>
      <c r="G37" s="27"/>
      <c r="H37" s="31" t="s">
        <v>32</v>
      </c>
      <c r="I37" s="27" t="s">
        <v>32</v>
      </c>
      <c r="J37" s="27" t="s">
        <v>32</v>
      </c>
      <c r="K37" s="27" t="s">
        <v>32</v>
      </c>
      <c r="L37" s="27"/>
      <c r="M37" s="27" t="s">
        <v>32</v>
      </c>
      <c r="N37" s="31" t="s">
        <v>32</v>
      </c>
      <c r="O37" s="31" t="s">
        <v>32</v>
      </c>
      <c r="P37" s="27" t="s">
        <v>32</v>
      </c>
      <c r="Q37" s="27" t="s">
        <v>32</v>
      </c>
      <c r="R37" s="27"/>
      <c r="S37" s="30">
        <f>C36+D36+E36+F36+G36+H36+I36+J36+K36+L36+M36+N36+O36+P36+Q36+C37+D37+E37+F37+G37+H37+I37+J37+K37+L37+M37+N37+O37+P37+Q37+R37</f>
        <v>86.5</v>
      </c>
      <c r="T37" s="22"/>
      <c r="U37" s="56"/>
      <c r="V37" s="87"/>
      <c r="W37" s="87"/>
    </row>
    <row r="38" spans="1:23" ht="14.25" customHeight="1" x14ac:dyDescent="0.3">
      <c r="A38" s="57">
        <f>A36+1</f>
        <v>8</v>
      </c>
      <c r="B38" s="59" t="s">
        <v>45</v>
      </c>
      <c r="C38" s="31"/>
      <c r="D38" s="33" t="s">
        <v>37</v>
      </c>
      <c r="E38" s="29" t="s">
        <v>32</v>
      </c>
      <c r="F38" s="29" t="s">
        <v>32</v>
      </c>
      <c r="G38" s="33" t="s">
        <v>32</v>
      </c>
      <c r="H38" s="31" t="s">
        <v>32</v>
      </c>
      <c r="I38" s="31"/>
      <c r="J38" s="29"/>
      <c r="K38" s="29"/>
      <c r="L38" s="29" t="s">
        <v>32</v>
      </c>
      <c r="M38" s="29" t="s">
        <v>32</v>
      </c>
      <c r="N38" s="29" t="s">
        <v>32</v>
      </c>
      <c r="O38" s="31" t="s">
        <v>32</v>
      </c>
      <c r="P38" s="31" t="s">
        <v>36</v>
      </c>
      <c r="Q38" s="31"/>
      <c r="R38" s="27"/>
      <c r="S38" s="22" t="s">
        <v>21</v>
      </c>
      <c r="T38" s="22" t="s">
        <v>31</v>
      </c>
      <c r="U38" s="55">
        <f>S39*104</f>
        <v>8996</v>
      </c>
      <c r="V38" s="87">
        <v>4</v>
      </c>
      <c r="W38" s="87">
        <f>U38+V38</f>
        <v>9000</v>
      </c>
    </row>
    <row r="39" spans="1:23" ht="14.25" customHeight="1" x14ac:dyDescent="0.3">
      <c r="A39" s="58"/>
      <c r="B39" s="60"/>
      <c r="C39" s="31" t="s">
        <v>32</v>
      </c>
      <c r="D39" s="27" t="s">
        <v>32</v>
      </c>
      <c r="E39" s="27" t="s">
        <v>32</v>
      </c>
      <c r="F39" s="31" t="s">
        <v>32</v>
      </c>
      <c r="G39" s="27"/>
      <c r="H39" s="31" t="s">
        <v>32</v>
      </c>
      <c r="I39" s="27" t="s">
        <v>32</v>
      </c>
      <c r="J39" s="27" t="s">
        <v>32</v>
      </c>
      <c r="K39" s="27" t="s">
        <v>32</v>
      </c>
      <c r="L39" s="27"/>
      <c r="M39" s="27" t="s">
        <v>32</v>
      </c>
      <c r="N39" s="31" t="s">
        <v>32</v>
      </c>
      <c r="O39" s="31" t="s">
        <v>32</v>
      </c>
      <c r="P39" s="27" t="s">
        <v>32</v>
      </c>
      <c r="Q39" s="27"/>
      <c r="R39" s="27"/>
      <c r="S39" s="30">
        <f>C38+D38+E38+F38+G38+H38+I38+J38+K38+L38+M38+N38+O38+P38+Q38+C39+D39+E39+F39+G39+H39+I39+J39+K39+L39+M39+N39+O39+P39+Q39+R39</f>
        <v>86.5</v>
      </c>
      <c r="T39" s="22"/>
      <c r="U39" s="56"/>
      <c r="V39" s="87"/>
      <c r="W39" s="87"/>
    </row>
    <row r="40" spans="1:23" ht="14.25" customHeight="1" x14ac:dyDescent="0.3">
      <c r="A40" s="57">
        <f>A38+1</f>
        <v>9</v>
      </c>
      <c r="B40" s="59" t="s">
        <v>46</v>
      </c>
      <c r="C40" s="31" t="s">
        <v>32</v>
      </c>
      <c r="D40" s="29" t="s">
        <v>32</v>
      </c>
      <c r="E40" s="33" t="s">
        <v>36</v>
      </c>
      <c r="F40" s="29" t="s">
        <v>32</v>
      </c>
      <c r="G40" s="29" t="s">
        <v>32</v>
      </c>
      <c r="H40" s="27"/>
      <c r="I40" s="27"/>
      <c r="J40" s="29" t="s">
        <v>32</v>
      </c>
      <c r="K40" s="29" t="s">
        <v>32</v>
      </c>
      <c r="L40" s="29" t="s">
        <v>32</v>
      </c>
      <c r="M40" s="29" t="s">
        <v>32</v>
      </c>
      <c r="N40" s="29" t="s">
        <v>32</v>
      </c>
      <c r="O40" s="27"/>
      <c r="P40" s="27"/>
      <c r="Q40" s="31" t="s">
        <v>32</v>
      </c>
      <c r="R40" s="27"/>
      <c r="S40" s="22" t="s">
        <v>21</v>
      </c>
      <c r="T40" s="22" t="s">
        <v>31</v>
      </c>
      <c r="U40" s="55">
        <f>S41*104</f>
        <v>8996</v>
      </c>
      <c r="V40" s="87">
        <v>4</v>
      </c>
      <c r="W40" s="87">
        <f>U40+V40</f>
        <v>9000</v>
      </c>
    </row>
    <row r="41" spans="1:23" ht="14.25" customHeight="1" x14ac:dyDescent="0.3">
      <c r="A41" s="58"/>
      <c r="B41" s="60"/>
      <c r="C41" s="31" t="s">
        <v>37</v>
      </c>
      <c r="D41" s="27" t="s">
        <v>32</v>
      </c>
      <c r="E41" s="27" t="s">
        <v>32</v>
      </c>
      <c r="F41" s="31" t="s">
        <v>32</v>
      </c>
      <c r="G41" s="27"/>
      <c r="H41" s="27"/>
      <c r="I41" s="27" t="s">
        <v>32</v>
      </c>
      <c r="J41" s="27" t="s">
        <v>32</v>
      </c>
      <c r="K41" s="27" t="s">
        <v>32</v>
      </c>
      <c r="L41" s="27" t="s">
        <v>32</v>
      </c>
      <c r="M41" s="27" t="s">
        <v>32</v>
      </c>
      <c r="N41" s="27"/>
      <c r="O41" s="27"/>
      <c r="P41" s="27" t="s">
        <v>32</v>
      </c>
      <c r="Q41" s="27" t="s">
        <v>32</v>
      </c>
      <c r="R41" s="27"/>
      <c r="S41" s="30">
        <f>C40+D40+E40+F40+G40+H40+I40+J40+K40+L40+M40+N40+O40+P40+Q40+C41+D41+E41+F41+G41+H41+I41+J41+K41+L41+M41+N41+O41+P41+Q41+R41</f>
        <v>86.5</v>
      </c>
      <c r="T41" s="22"/>
      <c r="U41" s="56"/>
      <c r="V41" s="87"/>
      <c r="W41" s="87"/>
    </row>
    <row r="42" spans="1:23" ht="14.25" customHeight="1" x14ac:dyDescent="0.3">
      <c r="A42" s="57">
        <f>A40+1</f>
        <v>10</v>
      </c>
      <c r="B42" s="59" t="s">
        <v>47</v>
      </c>
      <c r="C42" s="31"/>
      <c r="D42" s="29"/>
      <c r="E42" s="29" t="s">
        <v>32</v>
      </c>
      <c r="F42" s="29" t="s">
        <v>32</v>
      </c>
      <c r="G42" s="33" t="s">
        <v>32</v>
      </c>
      <c r="H42" s="31" t="s">
        <v>32</v>
      </c>
      <c r="I42" s="31" t="s">
        <v>37</v>
      </c>
      <c r="J42" s="29"/>
      <c r="K42" s="29"/>
      <c r="L42" s="29" t="s">
        <v>32</v>
      </c>
      <c r="M42" s="29" t="s">
        <v>32</v>
      </c>
      <c r="N42" s="29" t="s">
        <v>32</v>
      </c>
      <c r="O42" s="31" t="s">
        <v>32</v>
      </c>
      <c r="P42" s="31" t="s">
        <v>36</v>
      </c>
      <c r="Q42" s="31"/>
      <c r="R42" s="27"/>
      <c r="S42" s="22" t="s">
        <v>21</v>
      </c>
      <c r="T42" s="22" t="s">
        <v>31</v>
      </c>
      <c r="U42" s="55">
        <f>S43*104</f>
        <v>8996</v>
      </c>
      <c r="V42" s="87">
        <v>4</v>
      </c>
      <c r="W42" s="87">
        <f>U42+V42</f>
        <v>9000</v>
      </c>
    </row>
    <row r="43" spans="1:23" ht="14.25" customHeight="1" x14ac:dyDescent="0.3">
      <c r="A43" s="58"/>
      <c r="B43" s="60"/>
      <c r="C43" s="27"/>
      <c r="D43" s="27" t="s">
        <v>32</v>
      </c>
      <c r="E43" s="27" t="s">
        <v>32</v>
      </c>
      <c r="F43" s="31" t="s">
        <v>32</v>
      </c>
      <c r="G43" s="27"/>
      <c r="H43" s="31" t="s">
        <v>32</v>
      </c>
      <c r="I43" s="27" t="s">
        <v>32</v>
      </c>
      <c r="J43" s="27" t="s">
        <v>32</v>
      </c>
      <c r="K43" s="27" t="s">
        <v>32</v>
      </c>
      <c r="L43" s="27"/>
      <c r="M43" s="27" t="s">
        <v>32</v>
      </c>
      <c r="N43" s="31" t="s">
        <v>32</v>
      </c>
      <c r="O43" s="31" t="s">
        <v>32</v>
      </c>
      <c r="P43" s="27" t="s">
        <v>32</v>
      </c>
      <c r="Q43" s="27" t="s">
        <v>32</v>
      </c>
      <c r="R43" s="27"/>
      <c r="S43" s="30">
        <f>C42+D42+E42+F42+G42+H42+I42+J42+K42+L42+M42+N42+O42+P42+Q42+C43+D43+E43+F43+G43+H43+I43+J43+K43+L43+M43+N43+O43+P43+Q43+R43</f>
        <v>86.5</v>
      </c>
      <c r="T43" s="22"/>
      <c r="U43" s="56"/>
      <c r="V43" s="87"/>
      <c r="W43" s="87"/>
    </row>
    <row r="44" spans="1:23" ht="14.25" customHeight="1" x14ac:dyDescent="0.3">
      <c r="A44" s="57">
        <f>A42+1</f>
        <v>11</v>
      </c>
      <c r="B44" s="59" t="s">
        <v>48</v>
      </c>
      <c r="C44" s="31" t="s">
        <v>32</v>
      </c>
      <c r="D44" s="29" t="s">
        <v>32</v>
      </c>
      <c r="E44" s="29" t="s">
        <v>32</v>
      </c>
      <c r="F44" s="29" t="s">
        <v>32</v>
      </c>
      <c r="G44" s="29" t="s">
        <v>32</v>
      </c>
      <c r="H44" s="27"/>
      <c r="I44" s="27"/>
      <c r="J44" s="29" t="s">
        <v>32</v>
      </c>
      <c r="K44" s="29" t="s">
        <v>32</v>
      </c>
      <c r="L44" s="29" t="s">
        <v>32</v>
      </c>
      <c r="M44" s="29" t="s">
        <v>32</v>
      </c>
      <c r="N44" s="29" t="s">
        <v>32</v>
      </c>
      <c r="O44" s="27"/>
      <c r="P44" s="27"/>
      <c r="Q44" s="31" t="s">
        <v>36</v>
      </c>
      <c r="R44" s="27"/>
      <c r="S44" s="22" t="s">
        <v>21</v>
      </c>
      <c r="T44" s="22" t="s">
        <v>31</v>
      </c>
      <c r="U44" s="55">
        <f>S45*104</f>
        <v>8996</v>
      </c>
      <c r="V44" s="87">
        <v>4</v>
      </c>
      <c r="W44" s="87">
        <f>U44+V44</f>
        <v>9000</v>
      </c>
    </row>
    <row r="45" spans="1:23" ht="14.25" customHeight="1" x14ac:dyDescent="0.3">
      <c r="A45" s="58"/>
      <c r="B45" s="60"/>
      <c r="C45" s="27" t="s">
        <v>32</v>
      </c>
      <c r="D45" s="27" t="s">
        <v>32</v>
      </c>
      <c r="E45" s="27" t="s">
        <v>32</v>
      </c>
      <c r="F45" s="31" t="s">
        <v>37</v>
      </c>
      <c r="G45" s="27"/>
      <c r="H45" s="27"/>
      <c r="I45" s="27" t="s">
        <v>32</v>
      </c>
      <c r="J45" s="27" t="s">
        <v>32</v>
      </c>
      <c r="K45" s="27" t="s">
        <v>32</v>
      </c>
      <c r="L45" s="27" t="s">
        <v>32</v>
      </c>
      <c r="M45" s="27" t="s">
        <v>32</v>
      </c>
      <c r="N45" s="27"/>
      <c r="O45" s="27"/>
      <c r="P45" s="27" t="s">
        <v>32</v>
      </c>
      <c r="Q45" s="27" t="s">
        <v>32</v>
      </c>
      <c r="R45" s="27"/>
      <c r="S45" s="30">
        <f>C44+D44+E44+F44+G44+H44+I44+J44+K44+L44+M44+N44+O44+P44+Q44+C45+D45+E45+F45+G45+H45+I45+J45+K45+L45+M45+N45+O45+P45+Q45+R45</f>
        <v>86.5</v>
      </c>
      <c r="T45" s="22"/>
      <c r="U45" s="56"/>
      <c r="V45" s="87"/>
      <c r="W45" s="87"/>
    </row>
    <row r="46" spans="1:23" ht="14.25" customHeight="1" x14ac:dyDescent="0.3">
      <c r="A46" s="57">
        <f>A44+1</f>
        <v>12</v>
      </c>
      <c r="B46" s="59" t="s">
        <v>49</v>
      </c>
      <c r="C46" s="31"/>
      <c r="D46" s="29"/>
      <c r="E46" s="29" t="s">
        <v>32</v>
      </c>
      <c r="F46" s="29" t="s">
        <v>32</v>
      </c>
      <c r="G46" s="33" t="s">
        <v>32</v>
      </c>
      <c r="H46" s="31" t="s">
        <v>32</v>
      </c>
      <c r="I46" s="31" t="s">
        <v>37</v>
      </c>
      <c r="J46" s="29"/>
      <c r="K46" s="29"/>
      <c r="L46" s="29" t="s">
        <v>32</v>
      </c>
      <c r="M46" s="29" t="s">
        <v>32</v>
      </c>
      <c r="N46" s="29" t="s">
        <v>32</v>
      </c>
      <c r="O46" s="31" t="s">
        <v>32</v>
      </c>
      <c r="P46" s="31" t="s">
        <v>36</v>
      </c>
      <c r="Q46" s="31"/>
      <c r="R46" s="27"/>
      <c r="S46" s="22" t="s">
        <v>21</v>
      </c>
      <c r="T46" s="22" t="s">
        <v>31</v>
      </c>
      <c r="U46" s="55">
        <f>S47*104</f>
        <v>8996</v>
      </c>
      <c r="V46" s="87">
        <v>4</v>
      </c>
      <c r="W46" s="87">
        <f>U46+V46</f>
        <v>9000</v>
      </c>
    </row>
    <row r="47" spans="1:23" ht="14.25" customHeight="1" x14ac:dyDescent="0.3">
      <c r="A47" s="58"/>
      <c r="B47" s="60"/>
      <c r="C47" s="27"/>
      <c r="D47" s="27" t="s">
        <v>32</v>
      </c>
      <c r="E47" s="27" t="s">
        <v>32</v>
      </c>
      <c r="F47" s="31" t="s">
        <v>32</v>
      </c>
      <c r="G47" s="27"/>
      <c r="H47" s="31" t="s">
        <v>32</v>
      </c>
      <c r="I47" s="27" t="s">
        <v>32</v>
      </c>
      <c r="J47" s="27" t="s">
        <v>32</v>
      </c>
      <c r="K47" s="27" t="s">
        <v>32</v>
      </c>
      <c r="L47" s="27"/>
      <c r="M47" s="27" t="s">
        <v>32</v>
      </c>
      <c r="N47" s="31" t="s">
        <v>32</v>
      </c>
      <c r="O47" s="31" t="s">
        <v>32</v>
      </c>
      <c r="P47" s="27" t="s">
        <v>32</v>
      </c>
      <c r="Q47" s="27" t="s">
        <v>32</v>
      </c>
      <c r="R47" s="27"/>
      <c r="S47" s="30">
        <f>C46+D46+E46+F46+G46+H46+I46+J46+K46+L46+M46+N46+O46+P46+Q46+C47+D47+E47+F47+G47+H47+I47+J47+K47+L47+M47+N47+O47+P47+Q47+R47</f>
        <v>86.5</v>
      </c>
      <c r="T47" s="22"/>
      <c r="U47" s="56"/>
      <c r="V47" s="87"/>
      <c r="W47" s="87"/>
    </row>
    <row r="48" spans="1:23" ht="14.25" customHeight="1" x14ac:dyDescent="0.3">
      <c r="A48" s="57">
        <f>A46+1</f>
        <v>13</v>
      </c>
      <c r="B48" s="59" t="s">
        <v>50</v>
      </c>
      <c r="C48" s="31"/>
      <c r="D48" s="33" t="s">
        <v>37</v>
      </c>
      <c r="E48" s="29" t="s">
        <v>32</v>
      </c>
      <c r="F48" s="29" t="s">
        <v>32</v>
      </c>
      <c r="G48" s="33" t="s">
        <v>32</v>
      </c>
      <c r="H48" s="31" t="s">
        <v>32</v>
      </c>
      <c r="I48" s="31"/>
      <c r="J48" s="29"/>
      <c r="K48" s="29"/>
      <c r="L48" s="29" t="s">
        <v>32</v>
      </c>
      <c r="M48" s="29" t="s">
        <v>32</v>
      </c>
      <c r="N48" s="29" t="s">
        <v>32</v>
      </c>
      <c r="O48" s="31" t="s">
        <v>32</v>
      </c>
      <c r="P48" s="31" t="s">
        <v>36</v>
      </c>
      <c r="Q48" s="31"/>
      <c r="R48" s="27"/>
      <c r="S48" s="22" t="s">
        <v>21</v>
      </c>
      <c r="T48" s="22" t="s">
        <v>31</v>
      </c>
      <c r="U48" s="55">
        <f>S49*104</f>
        <v>8996</v>
      </c>
      <c r="V48" s="87">
        <v>4</v>
      </c>
      <c r="W48" s="87">
        <f>U48+V48</f>
        <v>9000</v>
      </c>
    </row>
    <row r="49" spans="1:23" ht="14.25" customHeight="1" x14ac:dyDescent="0.3">
      <c r="A49" s="58"/>
      <c r="B49" s="60"/>
      <c r="C49" s="31" t="s">
        <v>32</v>
      </c>
      <c r="D49" s="27" t="s">
        <v>32</v>
      </c>
      <c r="E49" s="27" t="s">
        <v>32</v>
      </c>
      <c r="F49" s="31" t="s">
        <v>32</v>
      </c>
      <c r="G49" s="27"/>
      <c r="H49" s="31" t="s">
        <v>32</v>
      </c>
      <c r="I49" s="27" t="s">
        <v>32</v>
      </c>
      <c r="J49" s="27" t="s">
        <v>32</v>
      </c>
      <c r="K49" s="27" t="s">
        <v>32</v>
      </c>
      <c r="L49" s="27"/>
      <c r="M49" s="27" t="s">
        <v>32</v>
      </c>
      <c r="N49" s="31" t="s">
        <v>32</v>
      </c>
      <c r="O49" s="31" t="s">
        <v>32</v>
      </c>
      <c r="P49" s="27" t="s">
        <v>32</v>
      </c>
      <c r="Q49" s="27"/>
      <c r="R49" s="27"/>
      <c r="S49" s="30">
        <f>C48+D48+E48+F48+G48+H48+I48+J48+K48+L48+M48+N48+O48+P48+Q48+C49+D49+E49+F49+G49+H49+I49+J49+K49+L49+M49+N49+O49+P49+Q49+R49</f>
        <v>86.5</v>
      </c>
      <c r="T49" s="22"/>
      <c r="U49" s="56"/>
      <c r="V49" s="87"/>
      <c r="W49" s="87"/>
    </row>
    <row r="50" spans="1:23" ht="14.25" customHeight="1" x14ac:dyDescent="0.3">
      <c r="A50" s="57">
        <f>A48+1</f>
        <v>14</v>
      </c>
      <c r="B50" s="59" t="s">
        <v>51</v>
      </c>
      <c r="C50" s="31" t="s">
        <v>32</v>
      </c>
      <c r="D50" s="29" t="s">
        <v>32</v>
      </c>
      <c r="E50" s="33" t="s">
        <v>36</v>
      </c>
      <c r="F50" s="29" t="s">
        <v>32</v>
      </c>
      <c r="G50" s="29" t="s">
        <v>32</v>
      </c>
      <c r="H50" s="27"/>
      <c r="I50" s="27"/>
      <c r="J50" s="29" t="s">
        <v>32</v>
      </c>
      <c r="K50" s="29" t="s">
        <v>32</v>
      </c>
      <c r="L50" s="29" t="s">
        <v>32</v>
      </c>
      <c r="M50" s="29" t="s">
        <v>32</v>
      </c>
      <c r="N50" s="29" t="s">
        <v>32</v>
      </c>
      <c r="O50" s="27"/>
      <c r="P50" s="27"/>
      <c r="Q50" s="31" t="s">
        <v>32</v>
      </c>
      <c r="R50" s="27"/>
      <c r="S50" s="22" t="s">
        <v>21</v>
      </c>
      <c r="T50" s="22" t="s">
        <v>31</v>
      </c>
      <c r="U50" s="55">
        <f>S51*104</f>
        <v>8996</v>
      </c>
      <c r="V50" s="87">
        <v>4</v>
      </c>
      <c r="W50" s="87">
        <f>U50+V50</f>
        <v>9000</v>
      </c>
    </row>
    <row r="51" spans="1:23" ht="14.25" customHeight="1" x14ac:dyDescent="0.3">
      <c r="A51" s="58"/>
      <c r="B51" s="60"/>
      <c r="C51" s="31" t="s">
        <v>37</v>
      </c>
      <c r="D51" s="27" t="s">
        <v>32</v>
      </c>
      <c r="E51" s="27" t="s">
        <v>32</v>
      </c>
      <c r="F51" s="31" t="s">
        <v>32</v>
      </c>
      <c r="G51" s="27"/>
      <c r="H51" s="27"/>
      <c r="I51" s="27" t="s">
        <v>32</v>
      </c>
      <c r="J51" s="27" t="s">
        <v>32</v>
      </c>
      <c r="K51" s="27" t="s">
        <v>32</v>
      </c>
      <c r="L51" s="27" t="s">
        <v>32</v>
      </c>
      <c r="M51" s="27" t="s">
        <v>32</v>
      </c>
      <c r="N51" s="27"/>
      <c r="O51" s="27"/>
      <c r="P51" s="27" t="s">
        <v>32</v>
      </c>
      <c r="Q51" s="27" t="s">
        <v>32</v>
      </c>
      <c r="R51" s="27"/>
      <c r="S51" s="30">
        <f>C50+D50+E50+F50+G50+H50+I50+J50+K50+L50+M50+N50+O50+P50+Q50+C51+D51+E51+F51+G51+H51+I51+J51+K51+L51+M51+N51+O51+P51+Q51+R51</f>
        <v>86.5</v>
      </c>
      <c r="T51" s="22"/>
      <c r="U51" s="56"/>
      <c r="V51" s="87"/>
      <c r="W51" s="87"/>
    </row>
    <row r="52" spans="1:23" ht="14.25" customHeight="1" x14ac:dyDescent="0.3">
      <c r="A52" s="57">
        <f>A50+1</f>
        <v>15</v>
      </c>
      <c r="B52" s="59" t="s">
        <v>52</v>
      </c>
      <c r="C52" s="31"/>
      <c r="D52" s="29"/>
      <c r="E52" s="29" t="s">
        <v>32</v>
      </c>
      <c r="F52" s="29" t="s">
        <v>32</v>
      </c>
      <c r="G52" s="33" t="s">
        <v>32</v>
      </c>
      <c r="H52" s="31" t="s">
        <v>32</v>
      </c>
      <c r="I52" s="31" t="s">
        <v>37</v>
      </c>
      <c r="J52" s="29"/>
      <c r="K52" s="29"/>
      <c r="L52" s="29" t="s">
        <v>32</v>
      </c>
      <c r="M52" s="29" t="s">
        <v>32</v>
      </c>
      <c r="N52" s="29" t="s">
        <v>32</v>
      </c>
      <c r="O52" s="31" t="s">
        <v>32</v>
      </c>
      <c r="P52" s="31" t="s">
        <v>36</v>
      </c>
      <c r="Q52" s="31"/>
      <c r="R52" s="27"/>
      <c r="S52" s="22" t="s">
        <v>21</v>
      </c>
      <c r="T52" s="22" t="s">
        <v>31</v>
      </c>
      <c r="U52" s="55">
        <f>S53*104</f>
        <v>8996</v>
      </c>
      <c r="V52" s="87">
        <v>4</v>
      </c>
      <c r="W52" s="87">
        <f>U52+V52</f>
        <v>9000</v>
      </c>
    </row>
    <row r="53" spans="1:23" ht="14.25" customHeight="1" x14ac:dyDescent="0.3">
      <c r="A53" s="58"/>
      <c r="B53" s="60"/>
      <c r="C53" s="27"/>
      <c r="D53" s="27" t="s">
        <v>32</v>
      </c>
      <c r="E53" s="27" t="s">
        <v>32</v>
      </c>
      <c r="F53" s="31" t="s">
        <v>32</v>
      </c>
      <c r="G53" s="27"/>
      <c r="H53" s="31" t="s">
        <v>32</v>
      </c>
      <c r="I53" s="27" t="s">
        <v>32</v>
      </c>
      <c r="J53" s="27" t="s">
        <v>32</v>
      </c>
      <c r="K53" s="27" t="s">
        <v>32</v>
      </c>
      <c r="L53" s="27"/>
      <c r="M53" s="27" t="s">
        <v>32</v>
      </c>
      <c r="N53" s="31" t="s">
        <v>32</v>
      </c>
      <c r="O53" s="31" t="s">
        <v>32</v>
      </c>
      <c r="P53" s="27" t="s">
        <v>32</v>
      </c>
      <c r="Q53" s="27" t="s">
        <v>32</v>
      </c>
      <c r="R53" s="27"/>
      <c r="S53" s="30">
        <f>C52+D52+E52+F52+G52+H52+I52+J52+K52+L52+M52+N52+O52+P52+Q52+C53+D53+E53+F53+G53+H53+I53+J53+K53+L53+M53+N53+O53+P53+Q53+R53</f>
        <v>86.5</v>
      </c>
      <c r="T53" s="22"/>
      <c r="U53" s="56"/>
      <c r="V53" s="87"/>
      <c r="W53" s="87"/>
    </row>
    <row r="54" spans="1:23" ht="14.25" customHeight="1" x14ac:dyDescent="0.3">
      <c r="A54" s="57">
        <f>A52+1</f>
        <v>16</v>
      </c>
      <c r="B54" s="59" t="s">
        <v>53</v>
      </c>
      <c r="C54" s="31" t="s">
        <v>32</v>
      </c>
      <c r="D54" s="29" t="s">
        <v>32</v>
      </c>
      <c r="E54" s="29" t="s">
        <v>32</v>
      </c>
      <c r="F54" s="29" t="s">
        <v>32</v>
      </c>
      <c r="G54" s="29" t="s">
        <v>32</v>
      </c>
      <c r="H54" s="27"/>
      <c r="I54" s="27"/>
      <c r="J54" s="29" t="s">
        <v>32</v>
      </c>
      <c r="K54" s="29" t="s">
        <v>32</v>
      </c>
      <c r="L54" s="29" t="s">
        <v>32</v>
      </c>
      <c r="M54" s="29" t="s">
        <v>32</v>
      </c>
      <c r="N54" s="29" t="s">
        <v>32</v>
      </c>
      <c r="O54" s="27"/>
      <c r="P54" s="27"/>
      <c r="Q54" s="31" t="s">
        <v>36</v>
      </c>
      <c r="R54" s="27"/>
      <c r="S54" s="22" t="s">
        <v>21</v>
      </c>
      <c r="T54" s="22" t="s">
        <v>31</v>
      </c>
      <c r="U54" s="55">
        <f>S55*104</f>
        <v>8996</v>
      </c>
      <c r="V54" s="87">
        <v>4</v>
      </c>
      <c r="W54" s="87">
        <f>U54+V54</f>
        <v>9000</v>
      </c>
    </row>
    <row r="55" spans="1:23" ht="14.25" customHeight="1" x14ac:dyDescent="0.3">
      <c r="A55" s="58"/>
      <c r="B55" s="60"/>
      <c r="C55" s="27" t="s">
        <v>32</v>
      </c>
      <c r="D55" s="27" t="s">
        <v>32</v>
      </c>
      <c r="E55" s="27" t="s">
        <v>32</v>
      </c>
      <c r="F55" s="31" t="s">
        <v>37</v>
      </c>
      <c r="G55" s="27"/>
      <c r="H55" s="27"/>
      <c r="I55" s="27" t="s">
        <v>32</v>
      </c>
      <c r="J55" s="27" t="s">
        <v>32</v>
      </c>
      <c r="K55" s="27" t="s">
        <v>32</v>
      </c>
      <c r="L55" s="27" t="s">
        <v>32</v>
      </c>
      <c r="M55" s="27" t="s">
        <v>32</v>
      </c>
      <c r="N55" s="27"/>
      <c r="O55" s="27"/>
      <c r="P55" s="27" t="s">
        <v>32</v>
      </c>
      <c r="Q55" s="27" t="s">
        <v>32</v>
      </c>
      <c r="R55" s="27"/>
      <c r="S55" s="30">
        <f>C54+D54+E54+F54+G54+H54+I54+J54+K54+L54+M54+N54+O54+P54+Q54+C55+D55+E55+F55+G55+H55+I55+J55+K55+L55+M55+N55+O55+P55+Q55+R55</f>
        <v>86.5</v>
      </c>
      <c r="T55" s="22"/>
      <c r="U55" s="56"/>
      <c r="V55" s="87"/>
      <c r="W55" s="87"/>
    </row>
    <row r="56" spans="1:23" ht="14.25" customHeight="1" x14ac:dyDescent="0.3">
      <c r="A56" s="57">
        <f>A54+1</f>
        <v>17</v>
      </c>
      <c r="B56" s="59" t="s">
        <v>54</v>
      </c>
      <c r="C56" s="31"/>
      <c r="D56" s="29"/>
      <c r="E56" s="29" t="s">
        <v>32</v>
      </c>
      <c r="F56" s="29" t="s">
        <v>32</v>
      </c>
      <c r="G56" s="33" t="s">
        <v>32</v>
      </c>
      <c r="H56" s="31" t="s">
        <v>32</v>
      </c>
      <c r="I56" s="31" t="s">
        <v>37</v>
      </c>
      <c r="J56" s="29"/>
      <c r="K56" s="29"/>
      <c r="L56" s="29" t="s">
        <v>32</v>
      </c>
      <c r="M56" s="29" t="s">
        <v>32</v>
      </c>
      <c r="N56" s="29" t="s">
        <v>32</v>
      </c>
      <c r="O56" s="31" t="s">
        <v>32</v>
      </c>
      <c r="P56" s="31" t="s">
        <v>36</v>
      </c>
      <c r="Q56" s="31"/>
      <c r="R56" s="27"/>
      <c r="S56" s="22" t="s">
        <v>21</v>
      </c>
      <c r="T56" s="22" t="s">
        <v>31</v>
      </c>
      <c r="U56" s="55">
        <f>S57*104</f>
        <v>8996</v>
      </c>
      <c r="V56" s="87">
        <v>4</v>
      </c>
      <c r="W56" s="87">
        <f>U56+V56</f>
        <v>9000</v>
      </c>
    </row>
    <row r="57" spans="1:23" ht="14.25" customHeight="1" x14ac:dyDescent="0.3">
      <c r="A57" s="58"/>
      <c r="B57" s="60"/>
      <c r="C57" s="27"/>
      <c r="D57" s="27" t="s">
        <v>32</v>
      </c>
      <c r="E57" s="27" t="s">
        <v>32</v>
      </c>
      <c r="F57" s="31" t="s">
        <v>32</v>
      </c>
      <c r="G57" s="27"/>
      <c r="H57" s="31" t="s">
        <v>32</v>
      </c>
      <c r="I57" s="27" t="s">
        <v>32</v>
      </c>
      <c r="J57" s="27" t="s">
        <v>32</v>
      </c>
      <c r="K57" s="27" t="s">
        <v>32</v>
      </c>
      <c r="L57" s="27"/>
      <c r="M57" s="27" t="s">
        <v>32</v>
      </c>
      <c r="N57" s="31" t="s">
        <v>32</v>
      </c>
      <c r="O57" s="31" t="s">
        <v>32</v>
      </c>
      <c r="P57" s="27" t="s">
        <v>32</v>
      </c>
      <c r="Q57" s="27" t="s">
        <v>32</v>
      </c>
      <c r="R57" s="27"/>
      <c r="S57" s="30">
        <f>C56+D56+E56+F56+G56+H56+I56+J56+K56+L56+M56+N56+O56+P56+Q56+C57+D57+E57+F57+G57+H57+I57+J57+K57+L57+M57+N57+O57+P57+Q57+R57</f>
        <v>86.5</v>
      </c>
      <c r="T57" s="22"/>
      <c r="U57" s="56"/>
      <c r="V57" s="87"/>
      <c r="W57" s="87"/>
    </row>
    <row r="58" spans="1:23" ht="14.25" customHeight="1" x14ac:dyDescent="0.3">
      <c r="A58" s="57">
        <f>A56+1</f>
        <v>18</v>
      </c>
      <c r="B58" s="59" t="s">
        <v>55</v>
      </c>
      <c r="C58" s="31"/>
      <c r="D58" s="33" t="s">
        <v>37</v>
      </c>
      <c r="E58" s="29" t="s">
        <v>32</v>
      </c>
      <c r="F58" s="29" t="s">
        <v>32</v>
      </c>
      <c r="G58" s="33" t="s">
        <v>32</v>
      </c>
      <c r="H58" s="31" t="s">
        <v>32</v>
      </c>
      <c r="I58" s="31"/>
      <c r="J58" s="29"/>
      <c r="K58" s="29"/>
      <c r="L58" s="29" t="s">
        <v>32</v>
      </c>
      <c r="M58" s="29" t="s">
        <v>32</v>
      </c>
      <c r="N58" s="29" t="s">
        <v>32</v>
      </c>
      <c r="O58" s="31" t="s">
        <v>32</v>
      </c>
      <c r="P58" s="31" t="s">
        <v>36</v>
      </c>
      <c r="Q58" s="31"/>
      <c r="R58" s="27"/>
      <c r="S58" s="22" t="s">
        <v>21</v>
      </c>
      <c r="T58" s="22" t="s">
        <v>31</v>
      </c>
      <c r="U58" s="55">
        <f>S59*104</f>
        <v>8996</v>
      </c>
      <c r="V58" s="87">
        <v>4</v>
      </c>
      <c r="W58" s="87">
        <f>U58+V58</f>
        <v>9000</v>
      </c>
    </row>
    <row r="59" spans="1:23" ht="14.25" customHeight="1" x14ac:dyDescent="0.3">
      <c r="A59" s="58"/>
      <c r="B59" s="60"/>
      <c r="C59" s="31" t="s">
        <v>32</v>
      </c>
      <c r="D59" s="27" t="s">
        <v>32</v>
      </c>
      <c r="E59" s="27" t="s">
        <v>32</v>
      </c>
      <c r="F59" s="31" t="s">
        <v>32</v>
      </c>
      <c r="G59" s="27"/>
      <c r="H59" s="31" t="s">
        <v>32</v>
      </c>
      <c r="I59" s="27" t="s">
        <v>32</v>
      </c>
      <c r="J59" s="27" t="s">
        <v>32</v>
      </c>
      <c r="K59" s="27" t="s">
        <v>32</v>
      </c>
      <c r="L59" s="27"/>
      <c r="M59" s="27" t="s">
        <v>32</v>
      </c>
      <c r="N59" s="31" t="s">
        <v>32</v>
      </c>
      <c r="O59" s="31" t="s">
        <v>32</v>
      </c>
      <c r="P59" s="27" t="s">
        <v>32</v>
      </c>
      <c r="Q59" s="27"/>
      <c r="R59" s="27"/>
      <c r="S59" s="30">
        <f>C58+D58+E58+F58+G58+H58+I58+J58+K58+L58+M58+N58+O58+P58+Q58+C59+D59+E59+F59+G59+H59+I59+J59+K59+L59+M59+N59+O59+P59+Q59+R59</f>
        <v>86.5</v>
      </c>
      <c r="T59" s="22"/>
      <c r="U59" s="56"/>
      <c r="V59" s="87"/>
      <c r="W59" s="87"/>
    </row>
    <row r="60" spans="1:23" ht="14.25" customHeight="1" x14ac:dyDescent="0.3">
      <c r="A60" s="57">
        <f>A58+1</f>
        <v>19</v>
      </c>
      <c r="B60" s="59" t="s">
        <v>56</v>
      </c>
      <c r="C60" s="31" t="s">
        <v>32</v>
      </c>
      <c r="D60" s="29" t="s">
        <v>32</v>
      </c>
      <c r="E60" s="33" t="s">
        <v>36</v>
      </c>
      <c r="F60" s="29" t="s">
        <v>32</v>
      </c>
      <c r="G60" s="29" t="s">
        <v>32</v>
      </c>
      <c r="H60" s="27"/>
      <c r="I60" s="27"/>
      <c r="J60" s="29" t="s">
        <v>32</v>
      </c>
      <c r="K60" s="29" t="s">
        <v>32</v>
      </c>
      <c r="L60" s="29" t="s">
        <v>32</v>
      </c>
      <c r="M60" s="29" t="s">
        <v>32</v>
      </c>
      <c r="N60" s="29" t="s">
        <v>32</v>
      </c>
      <c r="O60" s="27"/>
      <c r="P60" s="27"/>
      <c r="Q60" s="31" t="s">
        <v>32</v>
      </c>
      <c r="R60" s="27"/>
      <c r="S60" s="22" t="s">
        <v>21</v>
      </c>
      <c r="T60" s="22" t="s">
        <v>31</v>
      </c>
      <c r="U60" s="55">
        <f>S61*104</f>
        <v>8996</v>
      </c>
      <c r="V60" s="87">
        <v>4</v>
      </c>
      <c r="W60" s="87">
        <f>U60+V60</f>
        <v>9000</v>
      </c>
    </row>
    <row r="61" spans="1:23" ht="14.25" customHeight="1" x14ac:dyDescent="0.3">
      <c r="A61" s="58"/>
      <c r="B61" s="60"/>
      <c r="C61" s="31" t="s">
        <v>37</v>
      </c>
      <c r="D61" s="27" t="s">
        <v>32</v>
      </c>
      <c r="E61" s="27" t="s">
        <v>32</v>
      </c>
      <c r="F61" s="31" t="s">
        <v>32</v>
      </c>
      <c r="G61" s="27"/>
      <c r="H61" s="27"/>
      <c r="I61" s="27" t="s">
        <v>32</v>
      </c>
      <c r="J61" s="27" t="s">
        <v>32</v>
      </c>
      <c r="K61" s="27" t="s">
        <v>32</v>
      </c>
      <c r="L61" s="27" t="s">
        <v>32</v>
      </c>
      <c r="M61" s="27" t="s">
        <v>32</v>
      </c>
      <c r="N61" s="27"/>
      <c r="O61" s="27"/>
      <c r="P61" s="27" t="s">
        <v>32</v>
      </c>
      <c r="Q61" s="27" t="s">
        <v>32</v>
      </c>
      <c r="R61" s="27"/>
      <c r="S61" s="30">
        <f>C60+D60+E60+F60+G60+H60+I60+J60+K60+L60+M60+N60+O60+P60+Q60+C61+D61+E61+F61+G61+H61+I61+J61+K61+L61+M61+N61+O61+P61+Q61+R61</f>
        <v>86.5</v>
      </c>
      <c r="T61" s="22"/>
      <c r="U61" s="56"/>
      <c r="V61" s="87"/>
      <c r="W61" s="87"/>
    </row>
    <row r="62" spans="1:23" ht="14.25" customHeight="1" x14ac:dyDescent="0.3">
      <c r="A62" s="57">
        <f>A60+1</f>
        <v>20</v>
      </c>
      <c r="B62" s="59" t="s">
        <v>57</v>
      </c>
      <c r="C62" s="31"/>
      <c r="D62" s="29"/>
      <c r="E62" s="29" t="s">
        <v>32</v>
      </c>
      <c r="F62" s="29" t="s">
        <v>32</v>
      </c>
      <c r="G62" s="33" t="s">
        <v>32</v>
      </c>
      <c r="H62" s="31" t="s">
        <v>32</v>
      </c>
      <c r="I62" s="31" t="s">
        <v>37</v>
      </c>
      <c r="J62" s="29"/>
      <c r="K62" s="29"/>
      <c r="L62" s="29" t="s">
        <v>32</v>
      </c>
      <c r="M62" s="29" t="s">
        <v>32</v>
      </c>
      <c r="N62" s="29" t="s">
        <v>32</v>
      </c>
      <c r="O62" s="31" t="s">
        <v>32</v>
      </c>
      <c r="P62" s="31" t="s">
        <v>36</v>
      </c>
      <c r="Q62" s="31"/>
      <c r="R62" s="27"/>
      <c r="S62" s="22" t="s">
        <v>21</v>
      </c>
      <c r="T62" s="22" t="s">
        <v>31</v>
      </c>
      <c r="U62" s="55">
        <f>S63*104</f>
        <v>8996</v>
      </c>
      <c r="V62" s="87">
        <v>4</v>
      </c>
      <c r="W62" s="87">
        <f>U62+V62</f>
        <v>9000</v>
      </c>
    </row>
    <row r="63" spans="1:23" ht="14.25" customHeight="1" x14ac:dyDescent="0.3">
      <c r="A63" s="58"/>
      <c r="B63" s="60"/>
      <c r="C63" s="27"/>
      <c r="D63" s="27" t="s">
        <v>32</v>
      </c>
      <c r="E63" s="27" t="s">
        <v>32</v>
      </c>
      <c r="F63" s="31" t="s">
        <v>32</v>
      </c>
      <c r="G63" s="27"/>
      <c r="H63" s="31" t="s">
        <v>32</v>
      </c>
      <c r="I63" s="27" t="s">
        <v>32</v>
      </c>
      <c r="J63" s="27" t="s">
        <v>32</v>
      </c>
      <c r="K63" s="27" t="s">
        <v>32</v>
      </c>
      <c r="L63" s="27"/>
      <c r="M63" s="27" t="s">
        <v>32</v>
      </c>
      <c r="N63" s="31" t="s">
        <v>32</v>
      </c>
      <c r="O63" s="31" t="s">
        <v>32</v>
      </c>
      <c r="P63" s="27" t="s">
        <v>32</v>
      </c>
      <c r="Q63" s="27" t="s">
        <v>32</v>
      </c>
      <c r="R63" s="27"/>
      <c r="S63" s="30">
        <f>C62+D62+E62+F62+G62+H62+I62+J62+K62+L62+M62+N62+O62+P62+Q62+C63+D63+E63+F63+G63+H63+I63+J63+K63+L63+M63+N63+O63+P63+Q63+R63</f>
        <v>86.5</v>
      </c>
      <c r="T63" s="22"/>
      <c r="U63" s="56"/>
      <c r="V63" s="87"/>
      <c r="W63" s="87"/>
    </row>
    <row r="64" spans="1:23" s="14" customFormat="1" ht="14.25" customHeight="1" x14ac:dyDescent="0.25">
      <c r="A64" s="57">
        <f>A62+1</f>
        <v>21</v>
      </c>
      <c r="B64" s="59" t="s">
        <v>58</v>
      </c>
      <c r="C64" s="31" t="s">
        <v>32</v>
      </c>
      <c r="D64" s="29" t="s">
        <v>32</v>
      </c>
      <c r="E64" s="29" t="s">
        <v>32</v>
      </c>
      <c r="F64" s="29" t="s">
        <v>32</v>
      </c>
      <c r="G64" s="29" t="s">
        <v>32</v>
      </c>
      <c r="H64" s="27"/>
      <c r="I64" s="27"/>
      <c r="J64" s="29" t="s">
        <v>32</v>
      </c>
      <c r="K64" s="29" t="s">
        <v>32</v>
      </c>
      <c r="L64" s="29" t="s">
        <v>32</v>
      </c>
      <c r="M64" s="29" t="s">
        <v>32</v>
      </c>
      <c r="N64" s="29" t="s">
        <v>32</v>
      </c>
      <c r="O64" s="27"/>
      <c r="P64" s="27"/>
      <c r="Q64" s="31" t="s">
        <v>36</v>
      </c>
      <c r="R64" s="27"/>
      <c r="S64" s="22" t="s">
        <v>21</v>
      </c>
      <c r="T64" s="22" t="s">
        <v>31</v>
      </c>
      <c r="U64" s="55">
        <f>S65*104</f>
        <v>8996</v>
      </c>
      <c r="V64" s="87">
        <v>4</v>
      </c>
      <c r="W64" s="87">
        <f>U64+V64</f>
        <v>9000</v>
      </c>
    </row>
    <row r="65" spans="1:23" s="14" customFormat="1" ht="14.25" customHeight="1" x14ac:dyDescent="0.25">
      <c r="A65" s="58"/>
      <c r="B65" s="60"/>
      <c r="C65" s="27" t="s">
        <v>32</v>
      </c>
      <c r="D65" s="27" t="s">
        <v>32</v>
      </c>
      <c r="E65" s="27" t="s">
        <v>32</v>
      </c>
      <c r="F65" s="31" t="s">
        <v>37</v>
      </c>
      <c r="G65" s="27"/>
      <c r="H65" s="27"/>
      <c r="I65" s="27" t="s">
        <v>32</v>
      </c>
      <c r="J65" s="27" t="s">
        <v>32</v>
      </c>
      <c r="K65" s="27" t="s">
        <v>32</v>
      </c>
      <c r="L65" s="27" t="s">
        <v>32</v>
      </c>
      <c r="M65" s="27" t="s">
        <v>32</v>
      </c>
      <c r="N65" s="27"/>
      <c r="O65" s="27"/>
      <c r="P65" s="27" t="s">
        <v>32</v>
      </c>
      <c r="Q65" s="27" t="s">
        <v>32</v>
      </c>
      <c r="R65" s="27"/>
      <c r="S65" s="30">
        <f>C64+D64+E64+F64+G64+H64+I64+J64+K64+L64+M64+N64+O64+P64+Q64+C65+D65+E65+F65+G65+H65+I65+J65+K65+L65+M65+N65+O65+P65+Q65+R65</f>
        <v>86.5</v>
      </c>
      <c r="T65" s="22"/>
      <c r="U65" s="56"/>
      <c r="V65" s="87"/>
      <c r="W65" s="87"/>
    </row>
    <row r="66" spans="1:23" ht="14.25" customHeight="1" x14ac:dyDescent="0.3">
      <c r="A66" s="57">
        <f>A64+1</f>
        <v>22</v>
      </c>
      <c r="B66" s="59" t="s">
        <v>59</v>
      </c>
      <c r="C66" s="31"/>
      <c r="D66" s="29"/>
      <c r="E66" s="29" t="s">
        <v>32</v>
      </c>
      <c r="F66" s="29" t="s">
        <v>32</v>
      </c>
      <c r="G66" s="33" t="s">
        <v>32</v>
      </c>
      <c r="H66" s="31" t="s">
        <v>32</v>
      </c>
      <c r="I66" s="31" t="s">
        <v>37</v>
      </c>
      <c r="J66" s="29"/>
      <c r="K66" s="29"/>
      <c r="L66" s="29" t="s">
        <v>32</v>
      </c>
      <c r="M66" s="29" t="s">
        <v>32</v>
      </c>
      <c r="N66" s="29" t="s">
        <v>32</v>
      </c>
      <c r="O66" s="31" t="s">
        <v>32</v>
      </c>
      <c r="P66" s="31" t="s">
        <v>36</v>
      </c>
      <c r="Q66" s="31"/>
      <c r="R66" s="27"/>
      <c r="S66" s="22" t="s">
        <v>21</v>
      </c>
      <c r="T66" s="22" t="s">
        <v>31</v>
      </c>
      <c r="U66" s="55">
        <f>S67*104</f>
        <v>8996</v>
      </c>
      <c r="V66" s="87">
        <v>4</v>
      </c>
      <c r="W66" s="87">
        <f>U66+V66</f>
        <v>9000</v>
      </c>
    </row>
    <row r="67" spans="1:23" ht="14.25" customHeight="1" x14ac:dyDescent="0.3">
      <c r="A67" s="58"/>
      <c r="B67" s="60"/>
      <c r="C67" s="27"/>
      <c r="D67" s="27" t="s">
        <v>32</v>
      </c>
      <c r="E67" s="27" t="s">
        <v>32</v>
      </c>
      <c r="F67" s="31" t="s">
        <v>32</v>
      </c>
      <c r="G67" s="27"/>
      <c r="H67" s="31" t="s">
        <v>32</v>
      </c>
      <c r="I67" s="27" t="s">
        <v>32</v>
      </c>
      <c r="J67" s="27" t="s">
        <v>32</v>
      </c>
      <c r="K67" s="27" t="s">
        <v>32</v>
      </c>
      <c r="L67" s="27"/>
      <c r="M67" s="27" t="s">
        <v>32</v>
      </c>
      <c r="N67" s="31" t="s">
        <v>32</v>
      </c>
      <c r="O67" s="31" t="s">
        <v>32</v>
      </c>
      <c r="P67" s="27" t="s">
        <v>32</v>
      </c>
      <c r="Q67" s="27" t="s">
        <v>32</v>
      </c>
      <c r="R67" s="27"/>
      <c r="S67" s="30">
        <f>C66+D66+E66+F66+G66+H66+I66+J66+K66+L66+M66+N66+O66+P66+Q66+C67+D67+E67+F67+G67+H67+I67+J67+K67+L67+M67+N67+O67+P67+Q67+R67</f>
        <v>86.5</v>
      </c>
      <c r="T67" s="22"/>
      <c r="U67" s="56"/>
      <c r="V67" s="87"/>
      <c r="W67" s="87"/>
    </row>
    <row r="68" spans="1:23" ht="14.25" customHeight="1" x14ac:dyDescent="0.3">
      <c r="A68" s="57">
        <f>A66+1</f>
        <v>23</v>
      </c>
      <c r="B68" s="59" t="s">
        <v>60</v>
      </c>
      <c r="C68" s="31"/>
      <c r="D68" s="33" t="s">
        <v>37</v>
      </c>
      <c r="E68" s="29" t="s">
        <v>32</v>
      </c>
      <c r="F68" s="29" t="s">
        <v>32</v>
      </c>
      <c r="G68" s="33" t="s">
        <v>32</v>
      </c>
      <c r="H68" s="31" t="s">
        <v>32</v>
      </c>
      <c r="I68" s="31"/>
      <c r="J68" s="29"/>
      <c r="K68" s="29"/>
      <c r="L68" s="29" t="s">
        <v>32</v>
      </c>
      <c r="M68" s="29" t="s">
        <v>32</v>
      </c>
      <c r="N68" s="29" t="s">
        <v>32</v>
      </c>
      <c r="O68" s="31" t="s">
        <v>32</v>
      </c>
      <c r="P68" s="31" t="s">
        <v>36</v>
      </c>
      <c r="Q68" s="31"/>
      <c r="R68" s="27"/>
      <c r="S68" s="22" t="s">
        <v>21</v>
      </c>
      <c r="T68" s="22" t="s">
        <v>31</v>
      </c>
      <c r="U68" s="55">
        <f>S69*104</f>
        <v>8996</v>
      </c>
      <c r="V68" s="87">
        <v>4</v>
      </c>
      <c r="W68" s="87">
        <f>U68+V68</f>
        <v>9000</v>
      </c>
    </row>
    <row r="69" spans="1:23" ht="14.25" customHeight="1" x14ac:dyDescent="0.3">
      <c r="A69" s="58"/>
      <c r="B69" s="60"/>
      <c r="C69" s="31" t="s">
        <v>32</v>
      </c>
      <c r="D69" s="27" t="s">
        <v>32</v>
      </c>
      <c r="E69" s="27" t="s">
        <v>32</v>
      </c>
      <c r="F69" s="31" t="s">
        <v>32</v>
      </c>
      <c r="G69" s="27"/>
      <c r="H69" s="31" t="s">
        <v>32</v>
      </c>
      <c r="I69" s="27" t="s">
        <v>32</v>
      </c>
      <c r="J69" s="27" t="s">
        <v>32</v>
      </c>
      <c r="K69" s="27" t="s">
        <v>32</v>
      </c>
      <c r="L69" s="27"/>
      <c r="M69" s="27" t="s">
        <v>32</v>
      </c>
      <c r="N69" s="31" t="s">
        <v>32</v>
      </c>
      <c r="O69" s="31" t="s">
        <v>32</v>
      </c>
      <c r="P69" s="27" t="s">
        <v>32</v>
      </c>
      <c r="Q69" s="27"/>
      <c r="R69" s="27"/>
      <c r="S69" s="30">
        <f>C68+D68+E68+F68+G68+H68+I68+J68+K68+L68+M68+N68+O68+P68+Q68+C69+D69+E69+F69+G69+H69+I69+J69+K69+L69+M69+N69+O69+P69+Q69+R69</f>
        <v>86.5</v>
      </c>
      <c r="T69" s="22"/>
      <c r="U69" s="56"/>
      <c r="V69" s="87"/>
      <c r="W69" s="87"/>
    </row>
    <row r="70" spans="1:23" ht="14.25" customHeight="1" x14ac:dyDescent="0.3">
      <c r="A70" s="57">
        <f>A68+1</f>
        <v>24</v>
      </c>
      <c r="B70" s="59" t="s">
        <v>61</v>
      </c>
      <c r="C70" s="31" t="s">
        <v>32</v>
      </c>
      <c r="D70" s="29" t="s">
        <v>32</v>
      </c>
      <c r="E70" s="33" t="s">
        <v>36</v>
      </c>
      <c r="F70" s="29" t="s">
        <v>32</v>
      </c>
      <c r="G70" s="29" t="s">
        <v>32</v>
      </c>
      <c r="H70" s="27"/>
      <c r="I70" s="27"/>
      <c r="J70" s="29" t="s">
        <v>32</v>
      </c>
      <c r="K70" s="29" t="s">
        <v>32</v>
      </c>
      <c r="L70" s="29" t="s">
        <v>32</v>
      </c>
      <c r="M70" s="29" t="s">
        <v>32</v>
      </c>
      <c r="N70" s="29" t="s">
        <v>32</v>
      </c>
      <c r="O70" s="27"/>
      <c r="P70" s="27"/>
      <c r="Q70" s="31" t="s">
        <v>32</v>
      </c>
      <c r="R70" s="27"/>
      <c r="S70" s="22" t="s">
        <v>21</v>
      </c>
      <c r="T70" s="22" t="s">
        <v>31</v>
      </c>
      <c r="U70" s="55">
        <f>S71*104</f>
        <v>8996</v>
      </c>
      <c r="V70" s="87">
        <v>4</v>
      </c>
      <c r="W70" s="87">
        <f>U70+V70</f>
        <v>9000</v>
      </c>
    </row>
    <row r="71" spans="1:23" ht="14.25" customHeight="1" x14ac:dyDescent="0.3">
      <c r="A71" s="58"/>
      <c r="B71" s="60"/>
      <c r="C71" s="31" t="s">
        <v>37</v>
      </c>
      <c r="D71" s="27" t="s">
        <v>32</v>
      </c>
      <c r="E71" s="27" t="s">
        <v>32</v>
      </c>
      <c r="F71" s="31" t="s">
        <v>32</v>
      </c>
      <c r="G71" s="27"/>
      <c r="H71" s="27"/>
      <c r="I71" s="27" t="s">
        <v>32</v>
      </c>
      <c r="J71" s="27" t="s">
        <v>32</v>
      </c>
      <c r="K71" s="27" t="s">
        <v>32</v>
      </c>
      <c r="L71" s="27" t="s">
        <v>32</v>
      </c>
      <c r="M71" s="27" t="s">
        <v>32</v>
      </c>
      <c r="N71" s="27"/>
      <c r="O71" s="27"/>
      <c r="P71" s="27" t="s">
        <v>32</v>
      </c>
      <c r="Q71" s="27" t="s">
        <v>32</v>
      </c>
      <c r="R71" s="27"/>
      <c r="S71" s="30">
        <f>C70+D70+E70+F70+G70+H70+I70+J70+K70+L70+M70+N70+O70+P70+Q70+C71+D71+E71+F71+G71+H71+I71+J71+K71+L71+M71+N71+O71+P71+Q71+R71</f>
        <v>86.5</v>
      </c>
      <c r="T71" s="22"/>
      <c r="U71" s="56"/>
      <c r="V71" s="87"/>
      <c r="W71" s="87"/>
    </row>
    <row r="72" spans="1:23" ht="14.25" customHeight="1" x14ac:dyDescent="0.3">
      <c r="A72" s="57">
        <f>A70+1</f>
        <v>25</v>
      </c>
      <c r="B72" s="59" t="s">
        <v>62</v>
      </c>
      <c r="C72" s="31"/>
      <c r="D72" s="29"/>
      <c r="E72" s="29" t="s">
        <v>32</v>
      </c>
      <c r="F72" s="29" t="s">
        <v>32</v>
      </c>
      <c r="G72" s="33" t="s">
        <v>32</v>
      </c>
      <c r="H72" s="31" t="s">
        <v>32</v>
      </c>
      <c r="I72" s="31" t="s">
        <v>37</v>
      </c>
      <c r="J72" s="29"/>
      <c r="K72" s="29"/>
      <c r="L72" s="29" t="s">
        <v>32</v>
      </c>
      <c r="M72" s="29" t="s">
        <v>32</v>
      </c>
      <c r="N72" s="29" t="s">
        <v>32</v>
      </c>
      <c r="O72" s="31" t="s">
        <v>32</v>
      </c>
      <c r="P72" s="31" t="s">
        <v>36</v>
      </c>
      <c r="Q72" s="31"/>
      <c r="R72" s="27"/>
      <c r="S72" s="22" t="s">
        <v>21</v>
      </c>
      <c r="T72" s="22" t="s">
        <v>31</v>
      </c>
      <c r="U72" s="55">
        <f>S73*104</f>
        <v>8996</v>
      </c>
      <c r="V72" s="87">
        <v>4</v>
      </c>
      <c r="W72" s="87">
        <f>U72+V72</f>
        <v>9000</v>
      </c>
    </row>
    <row r="73" spans="1:23" ht="14.25" customHeight="1" x14ac:dyDescent="0.3">
      <c r="A73" s="58"/>
      <c r="B73" s="60"/>
      <c r="C73" s="27"/>
      <c r="D73" s="27" t="s">
        <v>32</v>
      </c>
      <c r="E73" s="27" t="s">
        <v>32</v>
      </c>
      <c r="F73" s="31" t="s">
        <v>32</v>
      </c>
      <c r="G73" s="27"/>
      <c r="H73" s="31" t="s">
        <v>32</v>
      </c>
      <c r="I73" s="27" t="s">
        <v>32</v>
      </c>
      <c r="J73" s="27" t="s">
        <v>32</v>
      </c>
      <c r="K73" s="27" t="s">
        <v>32</v>
      </c>
      <c r="L73" s="27"/>
      <c r="M73" s="27" t="s">
        <v>32</v>
      </c>
      <c r="N73" s="31" t="s">
        <v>32</v>
      </c>
      <c r="O73" s="31" t="s">
        <v>32</v>
      </c>
      <c r="P73" s="27" t="s">
        <v>32</v>
      </c>
      <c r="Q73" s="27" t="s">
        <v>32</v>
      </c>
      <c r="R73" s="27"/>
      <c r="S73" s="30">
        <f>C72+D72+E72+F72+G72+H72+I72+J72+K72+L72+M72+N72+O72+P72+Q72+C73+D73+E73+F73+G73+H73+I73+J73+K73+L73+M73+N73+O73+P73+Q73+R73</f>
        <v>86.5</v>
      </c>
      <c r="T73" s="22"/>
      <c r="U73" s="56"/>
      <c r="V73" s="87"/>
      <c r="W73" s="87"/>
    </row>
    <row r="74" spans="1:23" ht="14.25" customHeight="1" x14ac:dyDescent="0.3">
      <c r="A74" s="57">
        <f>A72+1</f>
        <v>26</v>
      </c>
      <c r="B74" s="59" t="s">
        <v>63</v>
      </c>
      <c r="C74" s="31" t="s">
        <v>32</v>
      </c>
      <c r="D74" s="29" t="s">
        <v>32</v>
      </c>
      <c r="E74" s="29" t="s">
        <v>32</v>
      </c>
      <c r="F74" s="29" t="s">
        <v>32</v>
      </c>
      <c r="G74" s="29" t="s">
        <v>32</v>
      </c>
      <c r="H74" s="27"/>
      <c r="I74" s="27"/>
      <c r="J74" s="29" t="s">
        <v>32</v>
      </c>
      <c r="K74" s="29" t="s">
        <v>32</v>
      </c>
      <c r="L74" s="29" t="s">
        <v>32</v>
      </c>
      <c r="M74" s="29" t="s">
        <v>32</v>
      </c>
      <c r="N74" s="29" t="s">
        <v>32</v>
      </c>
      <c r="O74" s="27"/>
      <c r="P74" s="27"/>
      <c r="Q74" s="31" t="s">
        <v>36</v>
      </c>
      <c r="R74" s="27"/>
      <c r="S74" s="22" t="s">
        <v>21</v>
      </c>
      <c r="T74" s="22" t="s">
        <v>31</v>
      </c>
      <c r="U74" s="55">
        <f>S75*104</f>
        <v>8996</v>
      </c>
      <c r="V74" s="87">
        <v>4</v>
      </c>
      <c r="W74" s="87">
        <f>U74+V74</f>
        <v>9000</v>
      </c>
    </row>
    <row r="75" spans="1:23" ht="14.25" customHeight="1" x14ac:dyDescent="0.3">
      <c r="A75" s="58"/>
      <c r="B75" s="60"/>
      <c r="C75" s="27" t="s">
        <v>32</v>
      </c>
      <c r="D75" s="27" t="s">
        <v>32</v>
      </c>
      <c r="E75" s="27" t="s">
        <v>32</v>
      </c>
      <c r="F75" s="31" t="s">
        <v>37</v>
      </c>
      <c r="G75" s="27"/>
      <c r="H75" s="27"/>
      <c r="I75" s="27" t="s">
        <v>32</v>
      </c>
      <c r="J75" s="27" t="s">
        <v>32</v>
      </c>
      <c r="K75" s="27" t="s">
        <v>32</v>
      </c>
      <c r="L75" s="27" t="s">
        <v>32</v>
      </c>
      <c r="M75" s="27" t="s">
        <v>32</v>
      </c>
      <c r="N75" s="27"/>
      <c r="O75" s="27"/>
      <c r="P75" s="27" t="s">
        <v>32</v>
      </c>
      <c r="Q75" s="27" t="s">
        <v>32</v>
      </c>
      <c r="R75" s="27"/>
      <c r="S75" s="30">
        <f>C74+D74+E74+F74+G74+H74+I74+J74+K74+L74+M74+N74+O74+P74+Q74+C75+D75+E75+F75+G75+H75+I75+J75+K75+L75+M75+N75+O75+P75+Q75+R75</f>
        <v>86.5</v>
      </c>
      <c r="T75" s="22"/>
      <c r="U75" s="56"/>
      <c r="V75" s="87"/>
      <c r="W75" s="87"/>
    </row>
    <row r="76" spans="1:23" ht="14.25" customHeight="1" x14ac:dyDescent="0.3">
      <c r="A76" s="57">
        <f>A74+1</f>
        <v>27</v>
      </c>
      <c r="B76" s="59" t="s">
        <v>64</v>
      </c>
      <c r="C76" s="31"/>
      <c r="D76" s="29"/>
      <c r="E76" s="29" t="s">
        <v>32</v>
      </c>
      <c r="F76" s="29" t="s">
        <v>32</v>
      </c>
      <c r="G76" s="33" t="s">
        <v>32</v>
      </c>
      <c r="H76" s="31" t="s">
        <v>32</v>
      </c>
      <c r="I76" s="31" t="s">
        <v>37</v>
      </c>
      <c r="J76" s="29"/>
      <c r="K76" s="29"/>
      <c r="L76" s="29" t="s">
        <v>32</v>
      </c>
      <c r="M76" s="29" t="s">
        <v>32</v>
      </c>
      <c r="N76" s="29" t="s">
        <v>32</v>
      </c>
      <c r="O76" s="31" t="s">
        <v>32</v>
      </c>
      <c r="P76" s="31" t="s">
        <v>36</v>
      </c>
      <c r="Q76" s="31"/>
      <c r="R76" s="27"/>
      <c r="S76" s="22" t="s">
        <v>21</v>
      </c>
      <c r="T76" s="22" t="s">
        <v>31</v>
      </c>
      <c r="U76" s="55">
        <f>S77*104</f>
        <v>8996</v>
      </c>
      <c r="V76" s="87">
        <v>4</v>
      </c>
      <c r="W76" s="87">
        <f>U76+V76</f>
        <v>9000</v>
      </c>
    </row>
    <row r="77" spans="1:23" ht="14.25" customHeight="1" x14ac:dyDescent="0.3">
      <c r="A77" s="58"/>
      <c r="B77" s="60"/>
      <c r="C77" s="27"/>
      <c r="D77" s="27" t="s">
        <v>32</v>
      </c>
      <c r="E77" s="27" t="s">
        <v>32</v>
      </c>
      <c r="F77" s="31" t="s">
        <v>32</v>
      </c>
      <c r="G77" s="27"/>
      <c r="H77" s="31" t="s">
        <v>32</v>
      </c>
      <c r="I77" s="27" t="s">
        <v>32</v>
      </c>
      <c r="J77" s="27" t="s">
        <v>32</v>
      </c>
      <c r="K77" s="27" t="s">
        <v>32</v>
      </c>
      <c r="L77" s="27"/>
      <c r="M77" s="27" t="s">
        <v>32</v>
      </c>
      <c r="N77" s="31" t="s">
        <v>32</v>
      </c>
      <c r="O77" s="31" t="s">
        <v>32</v>
      </c>
      <c r="P77" s="27" t="s">
        <v>32</v>
      </c>
      <c r="Q77" s="27" t="s">
        <v>32</v>
      </c>
      <c r="R77" s="27"/>
      <c r="S77" s="30">
        <f>C76+D76+E76+F76+G76+H76+I76+J76+K76+L76+M76+N76+O76+P76+Q76+C77+D77+E77+F77+G77+H77+I77+J77+K77+L77+M77+N77+O77+P77+Q77+R77</f>
        <v>86.5</v>
      </c>
      <c r="T77" s="22"/>
      <c r="U77" s="56"/>
      <c r="V77" s="87"/>
      <c r="W77" s="87"/>
    </row>
    <row r="78" spans="1:23" ht="14.25" customHeight="1" x14ac:dyDescent="0.3">
      <c r="A78" s="57">
        <f>A76+1</f>
        <v>28</v>
      </c>
      <c r="B78" s="59" t="s">
        <v>65</v>
      </c>
      <c r="C78" s="31"/>
      <c r="D78" s="33" t="s">
        <v>37</v>
      </c>
      <c r="E78" s="29" t="s">
        <v>32</v>
      </c>
      <c r="F78" s="29" t="s">
        <v>32</v>
      </c>
      <c r="G78" s="33" t="s">
        <v>32</v>
      </c>
      <c r="H78" s="31" t="s">
        <v>32</v>
      </c>
      <c r="I78" s="31"/>
      <c r="J78" s="29"/>
      <c r="K78" s="29"/>
      <c r="L78" s="29" t="s">
        <v>32</v>
      </c>
      <c r="M78" s="29" t="s">
        <v>32</v>
      </c>
      <c r="N78" s="29" t="s">
        <v>32</v>
      </c>
      <c r="O78" s="31" t="s">
        <v>32</v>
      </c>
      <c r="P78" s="31" t="s">
        <v>36</v>
      </c>
      <c r="Q78" s="31"/>
      <c r="R78" s="27"/>
      <c r="S78" s="22" t="s">
        <v>21</v>
      </c>
      <c r="T78" s="22" t="s">
        <v>31</v>
      </c>
      <c r="U78" s="55">
        <f>S79*104</f>
        <v>8996</v>
      </c>
      <c r="V78" s="87">
        <v>4</v>
      </c>
      <c r="W78" s="87">
        <f>U78+V78</f>
        <v>9000</v>
      </c>
    </row>
    <row r="79" spans="1:23" ht="14.25" customHeight="1" x14ac:dyDescent="0.3">
      <c r="A79" s="58"/>
      <c r="B79" s="60"/>
      <c r="C79" s="31" t="s">
        <v>32</v>
      </c>
      <c r="D79" s="27" t="s">
        <v>32</v>
      </c>
      <c r="E79" s="27" t="s">
        <v>32</v>
      </c>
      <c r="F79" s="31" t="s">
        <v>32</v>
      </c>
      <c r="G79" s="27"/>
      <c r="H79" s="31" t="s">
        <v>32</v>
      </c>
      <c r="I79" s="27" t="s">
        <v>32</v>
      </c>
      <c r="J79" s="27" t="s">
        <v>32</v>
      </c>
      <c r="K79" s="27" t="s">
        <v>32</v>
      </c>
      <c r="L79" s="27"/>
      <c r="M79" s="27" t="s">
        <v>32</v>
      </c>
      <c r="N79" s="31" t="s">
        <v>32</v>
      </c>
      <c r="O79" s="31" t="s">
        <v>32</v>
      </c>
      <c r="P79" s="27" t="s">
        <v>32</v>
      </c>
      <c r="Q79" s="27"/>
      <c r="R79" s="27"/>
      <c r="S79" s="30">
        <f>C78+D78+E78+F78+G78+H78+I78+J78+K78+L78+M78+N78+O78+P78+Q78+C79+D79+E79+F79+G79+H79+I79+J79+K79+L79+M79+N79+O79+P79+Q79+R79</f>
        <v>86.5</v>
      </c>
      <c r="T79" s="22"/>
      <c r="U79" s="56"/>
      <c r="V79" s="87"/>
      <c r="W79" s="87"/>
    </row>
    <row r="80" spans="1:23" ht="14.25" customHeight="1" x14ac:dyDescent="0.3">
      <c r="A80" s="57">
        <f>A78+1</f>
        <v>29</v>
      </c>
      <c r="B80" s="59" t="s">
        <v>66</v>
      </c>
      <c r="C80" s="31" t="s">
        <v>32</v>
      </c>
      <c r="D80" s="29" t="s">
        <v>32</v>
      </c>
      <c r="E80" s="33" t="s">
        <v>36</v>
      </c>
      <c r="F80" s="29" t="s">
        <v>32</v>
      </c>
      <c r="G80" s="29" t="s">
        <v>32</v>
      </c>
      <c r="H80" s="27"/>
      <c r="I80" s="27"/>
      <c r="J80" s="29" t="s">
        <v>32</v>
      </c>
      <c r="K80" s="29" t="s">
        <v>32</v>
      </c>
      <c r="L80" s="29" t="s">
        <v>32</v>
      </c>
      <c r="M80" s="29" t="s">
        <v>32</v>
      </c>
      <c r="N80" s="29" t="s">
        <v>32</v>
      </c>
      <c r="O80" s="27"/>
      <c r="P80" s="27"/>
      <c r="Q80" s="31" t="s">
        <v>32</v>
      </c>
      <c r="R80" s="27"/>
      <c r="S80" s="22" t="s">
        <v>21</v>
      </c>
      <c r="T80" s="22" t="s">
        <v>31</v>
      </c>
      <c r="U80" s="55">
        <f>S81*104</f>
        <v>8996</v>
      </c>
      <c r="V80" s="87">
        <v>4</v>
      </c>
      <c r="W80" s="87">
        <f>U80+V80</f>
        <v>9000</v>
      </c>
    </row>
    <row r="81" spans="1:23" ht="14.25" customHeight="1" x14ac:dyDescent="0.3">
      <c r="A81" s="58"/>
      <c r="B81" s="60"/>
      <c r="C81" s="31" t="s">
        <v>37</v>
      </c>
      <c r="D81" s="27" t="s">
        <v>32</v>
      </c>
      <c r="E81" s="27" t="s">
        <v>32</v>
      </c>
      <c r="F81" s="31" t="s">
        <v>32</v>
      </c>
      <c r="G81" s="27"/>
      <c r="H81" s="27"/>
      <c r="I81" s="27" t="s">
        <v>32</v>
      </c>
      <c r="J81" s="27" t="s">
        <v>32</v>
      </c>
      <c r="K81" s="27" t="s">
        <v>32</v>
      </c>
      <c r="L81" s="27" t="s">
        <v>32</v>
      </c>
      <c r="M81" s="27" t="s">
        <v>32</v>
      </c>
      <c r="N81" s="27"/>
      <c r="O81" s="27"/>
      <c r="P81" s="27" t="s">
        <v>32</v>
      </c>
      <c r="Q81" s="27" t="s">
        <v>32</v>
      </c>
      <c r="R81" s="27"/>
      <c r="S81" s="30">
        <f>C80+D80+E80+F80+G80+H80+I80+J80+K80+L80+M80+N80+O80+P80+Q80+C81+D81+E81+F81+G81+H81+I81+J81+K81+L81+M81+N81+O81+P81+Q81+R81</f>
        <v>86.5</v>
      </c>
      <c r="T81" s="22"/>
      <c r="U81" s="56"/>
      <c r="V81" s="87"/>
      <c r="W81" s="87"/>
    </row>
    <row r="82" spans="1:23" ht="14.25" customHeight="1" x14ac:dyDescent="0.3">
      <c r="A82" s="57">
        <f>A80+1</f>
        <v>30</v>
      </c>
      <c r="B82" s="59" t="s">
        <v>67</v>
      </c>
      <c r="C82" s="31"/>
      <c r="D82" s="29"/>
      <c r="E82" s="29" t="s">
        <v>32</v>
      </c>
      <c r="F82" s="29" t="s">
        <v>32</v>
      </c>
      <c r="G82" s="33" t="s">
        <v>32</v>
      </c>
      <c r="H82" s="31" t="s">
        <v>32</v>
      </c>
      <c r="I82" s="31" t="s">
        <v>37</v>
      </c>
      <c r="J82" s="29"/>
      <c r="K82" s="29"/>
      <c r="L82" s="29" t="s">
        <v>32</v>
      </c>
      <c r="M82" s="29" t="s">
        <v>32</v>
      </c>
      <c r="N82" s="29" t="s">
        <v>32</v>
      </c>
      <c r="O82" s="31" t="s">
        <v>32</v>
      </c>
      <c r="P82" s="31" t="s">
        <v>36</v>
      </c>
      <c r="Q82" s="31"/>
      <c r="R82" s="27"/>
      <c r="S82" s="22" t="s">
        <v>21</v>
      </c>
      <c r="T82" s="22" t="s">
        <v>31</v>
      </c>
      <c r="U82" s="55">
        <f>S83*104</f>
        <v>8996</v>
      </c>
      <c r="V82" s="87">
        <v>4</v>
      </c>
      <c r="W82" s="87">
        <f>U82+V82</f>
        <v>9000</v>
      </c>
    </row>
    <row r="83" spans="1:23" ht="14.25" customHeight="1" x14ac:dyDescent="0.3">
      <c r="A83" s="58"/>
      <c r="B83" s="60"/>
      <c r="C83" s="27"/>
      <c r="D83" s="27" t="s">
        <v>32</v>
      </c>
      <c r="E83" s="27" t="s">
        <v>32</v>
      </c>
      <c r="F83" s="31" t="s">
        <v>32</v>
      </c>
      <c r="G83" s="27"/>
      <c r="H83" s="31" t="s">
        <v>32</v>
      </c>
      <c r="I83" s="27" t="s">
        <v>32</v>
      </c>
      <c r="J83" s="27" t="s">
        <v>32</v>
      </c>
      <c r="K83" s="27" t="s">
        <v>32</v>
      </c>
      <c r="L83" s="27"/>
      <c r="M83" s="27" t="s">
        <v>32</v>
      </c>
      <c r="N83" s="31" t="s">
        <v>32</v>
      </c>
      <c r="O83" s="31" t="s">
        <v>32</v>
      </c>
      <c r="P83" s="27" t="s">
        <v>32</v>
      </c>
      <c r="Q83" s="27" t="s">
        <v>32</v>
      </c>
      <c r="R83" s="27"/>
      <c r="S83" s="30">
        <f>C82+D82+E82+F82+G82+H82+I82+J82+K82+L82+M82+N82+O82+P82+Q82+C83+D83+E83+F83+G83+H83+I83+J83+K83+L83+M83+N83+O83+P83+Q83+R83</f>
        <v>86.5</v>
      </c>
      <c r="T83" s="22"/>
      <c r="U83" s="56"/>
      <c r="V83" s="87"/>
      <c r="W83" s="87"/>
    </row>
    <row r="84" spans="1:23" ht="14.25" customHeight="1" x14ac:dyDescent="0.3">
      <c r="A84" s="57">
        <f>A82+1</f>
        <v>31</v>
      </c>
      <c r="B84" s="59" t="s">
        <v>69</v>
      </c>
      <c r="C84" s="31" t="s">
        <v>32</v>
      </c>
      <c r="D84" s="29" t="s">
        <v>32</v>
      </c>
      <c r="E84" s="29" t="s">
        <v>32</v>
      </c>
      <c r="F84" s="29" t="s">
        <v>32</v>
      </c>
      <c r="G84" s="29" t="s">
        <v>32</v>
      </c>
      <c r="H84" s="27"/>
      <c r="I84" s="27"/>
      <c r="J84" s="29" t="s">
        <v>32</v>
      </c>
      <c r="K84" s="29" t="s">
        <v>32</v>
      </c>
      <c r="L84" s="29" t="s">
        <v>32</v>
      </c>
      <c r="M84" s="29" t="s">
        <v>32</v>
      </c>
      <c r="N84" s="29" t="s">
        <v>32</v>
      </c>
      <c r="O84" s="27"/>
      <c r="P84" s="27"/>
      <c r="Q84" s="31" t="s">
        <v>36</v>
      </c>
      <c r="R84" s="27"/>
      <c r="S84" s="22" t="s">
        <v>21</v>
      </c>
      <c r="T84" s="22" t="s">
        <v>31</v>
      </c>
      <c r="U84" s="55">
        <f>S85*104</f>
        <v>8996</v>
      </c>
      <c r="V84" s="87">
        <v>4</v>
      </c>
      <c r="W84" s="87">
        <f>U84+V84</f>
        <v>9000</v>
      </c>
    </row>
    <row r="85" spans="1:23" ht="14.25" customHeight="1" x14ac:dyDescent="0.3">
      <c r="A85" s="58"/>
      <c r="B85" s="60"/>
      <c r="C85" s="27" t="s">
        <v>32</v>
      </c>
      <c r="D85" s="27" t="s">
        <v>32</v>
      </c>
      <c r="E85" s="27" t="s">
        <v>32</v>
      </c>
      <c r="F85" s="31" t="s">
        <v>37</v>
      </c>
      <c r="G85" s="27"/>
      <c r="H85" s="27"/>
      <c r="I85" s="27" t="s">
        <v>32</v>
      </c>
      <c r="J85" s="27" t="s">
        <v>32</v>
      </c>
      <c r="K85" s="27" t="s">
        <v>32</v>
      </c>
      <c r="L85" s="27" t="s">
        <v>32</v>
      </c>
      <c r="M85" s="27" t="s">
        <v>32</v>
      </c>
      <c r="N85" s="27"/>
      <c r="O85" s="27"/>
      <c r="P85" s="27" t="s">
        <v>32</v>
      </c>
      <c r="Q85" s="27" t="s">
        <v>32</v>
      </c>
      <c r="R85" s="27"/>
      <c r="S85" s="30">
        <f>C84+D84+E84+F84+G84+H84+I84+J84+K84+L84+M84+N84+O84+P84+Q84+C85+D85+E85+F85+G85+H85+I85+J85+K85+L85+M85+N85+O85+P85+Q85+R85</f>
        <v>86.5</v>
      </c>
      <c r="T85" s="22"/>
      <c r="U85" s="56"/>
      <c r="V85" s="87"/>
      <c r="W85" s="87"/>
    </row>
    <row r="86" spans="1:23" ht="14.25" customHeight="1" x14ac:dyDescent="0.3">
      <c r="A86" s="57">
        <f>A84+1</f>
        <v>32</v>
      </c>
      <c r="B86" s="59" t="s">
        <v>70</v>
      </c>
      <c r="C86" s="31"/>
      <c r="D86" s="29"/>
      <c r="E86" s="29" t="s">
        <v>32</v>
      </c>
      <c r="F86" s="29" t="s">
        <v>32</v>
      </c>
      <c r="G86" s="33" t="s">
        <v>32</v>
      </c>
      <c r="H86" s="31" t="s">
        <v>32</v>
      </c>
      <c r="I86" s="31" t="s">
        <v>37</v>
      </c>
      <c r="J86" s="29"/>
      <c r="K86" s="29"/>
      <c r="L86" s="29" t="s">
        <v>32</v>
      </c>
      <c r="M86" s="29" t="s">
        <v>32</v>
      </c>
      <c r="N86" s="29" t="s">
        <v>32</v>
      </c>
      <c r="O86" s="31" t="s">
        <v>32</v>
      </c>
      <c r="P86" s="31" t="s">
        <v>36</v>
      </c>
      <c r="Q86" s="31"/>
      <c r="R86" s="27"/>
      <c r="S86" s="22" t="s">
        <v>21</v>
      </c>
      <c r="T86" s="22" t="s">
        <v>31</v>
      </c>
      <c r="U86" s="55">
        <f>S87*104</f>
        <v>8996</v>
      </c>
      <c r="V86" s="87">
        <v>4</v>
      </c>
      <c r="W86" s="87">
        <f>U86+V86</f>
        <v>9000</v>
      </c>
    </row>
    <row r="87" spans="1:23" ht="14.25" customHeight="1" x14ac:dyDescent="0.3">
      <c r="A87" s="58"/>
      <c r="B87" s="60"/>
      <c r="C87" s="27"/>
      <c r="D87" s="27" t="s">
        <v>32</v>
      </c>
      <c r="E87" s="27" t="s">
        <v>32</v>
      </c>
      <c r="F87" s="31" t="s">
        <v>32</v>
      </c>
      <c r="G87" s="27"/>
      <c r="H87" s="31" t="s">
        <v>32</v>
      </c>
      <c r="I87" s="27" t="s">
        <v>32</v>
      </c>
      <c r="J87" s="27" t="s">
        <v>32</v>
      </c>
      <c r="K87" s="27" t="s">
        <v>32</v>
      </c>
      <c r="L87" s="27"/>
      <c r="M87" s="27" t="s">
        <v>32</v>
      </c>
      <c r="N87" s="31" t="s">
        <v>32</v>
      </c>
      <c r="O87" s="31" t="s">
        <v>32</v>
      </c>
      <c r="P87" s="27" t="s">
        <v>32</v>
      </c>
      <c r="Q87" s="27" t="s">
        <v>32</v>
      </c>
      <c r="R87" s="27"/>
      <c r="S87" s="30">
        <f>C86+D86+E86+F86+G86+H86+I86+J86+K86+L86+M86+N86+O86+P86+Q86+C87+D87+E87+F87+G87+H87+I87+J87+K87+L87+M87+N87+O87+P87+Q87+R87</f>
        <v>86.5</v>
      </c>
      <c r="T87" s="22"/>
      <c r="U87" s="56"/>
      <c r="V87" s="87"/>
      <c r="W87" s="87"/>
    </row>
    <row r="88" spans="1:23" ht="14.25" customHeight="1" x14ac:dyDescent="0.3">
      <c r="A88" s="57">
        <f>A86+1</f>
        <v>33</v>
      </c>
      <c r="B88" s="59" t="s">
        <v>71</v>
      </c>
      <c r="C88" s="31"/>
      <c r="D88" s="33" t="s">
        <v>37</v>
      </c>
      <c r="E88" s="29" t="s">
        <v>32</v>
      </c>
      <c r="F88" s="29" t="s">
        <v>32</v>
      </c>
      <c r="G88" s="33" t="s">
        <v>32</v>
      </c>
      <c r="H88" s="31" t="s">
        <v>32</v>
      </c>
      <c r="I88" s="31"/>
      <c r="J88" s="29"/>
      <c r="K88" s="29"/>
      <c r="L88" s="29" t="s">
        <v>32</v>
      </c>
      <c r="M88" s="29" t="s">
        <v>32</v>
      </c>
      <c r="N88" s="29" t="s">
        <v>32</v>
      </c>
      <c r="O88" s="31" t="s">
        <v>32</v>
      </c>
      <c r="P88" s="31" t="s">
        <v>36</v>
      </c>
      <c r="Q88" s="31"/>
      <c r="R88" s="27"/>
      <c r="S88" s="22" t="s">
        <v>21</v>
      </c>
      <c r="T88" s="22" t="s">
        <v>31</v>
      </c>
      <c r="U88" s="55">
        <f>S89*104</f>
        <v>8996</v>
      </c>
      <c r="V88" s="87">
        <v>4</v>
      </c>
      <c r="W88" s="87">
        <f>U88+V88</f>
        <v>9000</v>
      </c>
    </row>
    <row r="89" spans="1:23" ht="14.25" customHeight="1" x14ac:dyDescent="0.3">
      <c r="A89" s="58"/>
      <c r="B89" s="60"/>
      <c r="C89" s="31" t="s">
        <v>32</v>
      </c>
      <c r="D89" s="27" t="s">
        <v>32</v>
      </c>
      <c r="E89" s="27" t="s">
        <v>32</v>
      </c>
      <c r="F89" s="31" t="s">
        <v>32</v>
      </c>
      <c r="G89" s="27"/>
      <c r="H89" s="31" t="s">
        <v>32</v>
      </c>
      <c r="I89" s="27" t="s">
        <v>32</v>
      </c>
      <c r="J89" s="27" t="s">
        <v>32</v>
      </c>
      <c r="K89" s="27" t="s">
        <v>32</v>
      </c>
      <c r="L89" s="27"/>
      <c r="M89" s="27" t="s">
        <v>32</v>
      </c>
      <c r="N89" s="31" t="s">
        <v>32</v>
      </c>
      <c r="O89" s="31" t="s">
        <v>32</v>
      </c>
      <c r="P89" s="27" t="s">
        <v>32</v>
      </c>
      <c r="Q89" s="27"/>
      <c r="R89" s="27"/>
      <c r="S89" s="30">
        <f>C88+D88+E88+F88+G88+H88+I88+J88+K88+L88+M88+N88+O88+P88+Q88+C89+D89+E89+F89+G89+H89+I89+J89+K89+L89+M89+N89+O89+P89+Q89+R89</f>
        <v>86.5</v>
      </c>
      <c r="T89" s="22"/>
      <c r="U89" s="56"/>
      <c r="V89" s="87"/>
      <c r="W89" s="87"/>
    </row>
    <row r="90" spans="1:23" ht="14.25" customHeight="1" x14ac:dyDescent="0.3">
      <c r="A90" s="57">
        <f>A88+1</f>
        <v>34</v>
      </c>
      <c r="B90" s="59" t="s">
        <v>72</v>
      </c>
      <c r="C90" s="31" t="s">
        <v>32</v>
      </c>
      <c r="D90" s="29" t="s">
        <v>32</v>
      </c>
      <c r="E90" s="33" t="s">
        <v>36</v>
      </c>
      <c r="F90" s="29" t="s">
        <v>32</v>
      </c>
      <c r="G90" s="29" t="s">
        <v>32</v>
      </c>
      <c r="H90" s="27"/>
      <c r="I90" s="27"/>
      <c r="J90" s="29" t="s">
        <v>32</v>
      </c>
      <c r="K90" s="29" t="s">
        <v>32</v>
      </c>
      <c r="L90" s="29" t="s">
        <v>32</v>
      </c>
      <c r="M90" s="29" t="s">
        <v>32</v>
      </c>
      <c r="N90" s="29" t="s">
        <v>32</v>
      </c>
      <c r="O90" s="27"/>
      <c r="P90" s="27"/>
      <c r="Q90" s="31" t="s">
        <v>32</v>
      </c>
      <c r="R90" s="27"/>
      <c r="S90" s="22" t="s">
        <v>21</v>
      </c>
      <c r="T90" s="22" t="s">
        <v>31</v>
      </c>
      <c r="U90" s="55">
        <f>S91*104</f>
        <v>8996</v>
      </c>
      <c r="V90" s="87">
        <v>4</v>
      </c>
      <c r="W90" s="87">
        <f>U90+V90</f>
        <v>9000</v>
      </c>
    </row>
    <row r="91" spans="1:23" ht="14.25" customHeight="1" x14ac:dyDescent="0.3">
      <c r="A91" s="58"/>
      <c r="B91" s="60"/>
      <c r="C91" s="31" t="s">
        <v>37</v>
      </c>
      <c r="D91" s="27" t="s">
        <v>32</v>
      </c>
      <c r="E91" s="27" t="s">
        <v>32</v>
      </c>
      <c r="F91" s="31" t="s">
        <v>32</v>
      </c>
      <c r="G91" s="27"/>
      <c r="H91" s="27"/>
      <c r="I91" s="27" t="s">
        <v>32</v>
      </c>
      <c r="J91" s="27" t="s">
        <v>32</v>
      </c>
      <c r="K91" s="27" t="s">
        <v>32</v>
      </c>
      <c r="L91" s="27" t="s">
        <v>32</v>
      </c>
      <c r="M91" s="27" t="s">
        <v>32</v>
      </c>
      <c r="N91" s="27"/>
      <c r="O91" s="27"/>
      <c r="P91" s="27" t="s">
        <v>32</v>
      </c>
      <c r="Q91" s="27" t="s">
        <v>32</v>
      </c>
      <c r="R91" s="27"/>
      <c r="S91" s="30">
        <f>C90+D90+E90+F90+G90+H90+I90+J90+K90+L90+M90+N90+O90+P90+Q90+C91+D91+E91+F91+G91+H91+I91+J91+K91+L91+M91+N91+O91+P91+Q91+R91</f>
        <v>86.5</v>
      </c>
      <c r="T91" s="22"/>
      <c r="U91" s="56"/>
      <c r="V91" s="87"/>
      <c r="W91" s="87"/>
    </row>
    <row r="92" spans="1:23" ht="14.25" customHeight="1" x14ac:dyDescent="0.3">
      <c r="A92" s="57">
        <f>A90+1</f>
        <v>35</v>
      </c>
      <c r="B92" s="61" t="s">
        <v>110</v>
      </c>
      <c r="C92" s="31" t="s">
        <v>114</v>
      </c>
      <c r="D92" s="29"/>
      <c r="E92" s="33" t="s">
        <v>114</v>
      </c>
      <c r="F92" s="33" t="s">
        <v>113</v>
      </c>
      <c r="G92" s="33" t="s">
        <v>114</v>
      </c>
      <c r="H92" s="31" t="s">
        <v>113</v>
      </c>
      <c r="I92" s="31" t="s">
        <v>33</v>
      </c>
      <c r="J92" s="29"/>
      <c r="K92" s="29"/>
      <c r="L92" s="33" t="s">
        <v>113</v>
      </c>
      <c r="M92" s="33" t="s">
        <v>113</v>
      </c>
      <c r="N92" s="33" t="s">
        <v>114</v>
      </c>
      <c r="O92" s="31" t="s">
        <v>113</v>
      </c>
      <c r="P92" s="31" t="s">
        <v>114</v>
      </c>
      <c r="Q92" s="31"/>
      <c r="R92" s="27"/>
      <c r="S92" s="22" t="s">
        <v>21</v>
      </c>
      <c r="T92" s="22" t="s">
        <v>31</v>
      </c>
      <c r="U92" s="55">
        <f>S93*104</f>
        <v>15392</v>
      </c>
      <c r="V92" s="88">
        <v>64</v>
      </c>
      <c r="W92" s="87">
        <f>U92+V92</f>
        <v>15456</v>
      </c>
    </row>
    <row r="93" spans="1:23" ht="14.25" customHeight="1" x14ac:dyDescent="0.3">
      <c r="A93" s="58"/>
      <c r="B93" s="60"/>
      <c r="C93" s="27"/>
      <c r="D93" s="31" t="s">
        <v>114</v>
      </c>
      <c r="E93" s="31" t="s">
        <v>113</v>
      </c>
      <c r="F93" s="31" t="s">
        <v>113</v>
      </c>
      <c r="G93" s="27"/>
      <c r="H93" s="31" t="s">
        <v>114</v>
      </c>
      <c r="I93" s="31" t="s">
        <v>113</v>
      </c>
      <c r="J93" s="31" t="s">
        <v>114</v>
      </c>
      <c r="K93" s="31" t="s">
        <v>113</v>
      </c>
      <c r="L93" s="27"/>
      <c r="M93" s="31" t="s">
        <v>114</v>
      </c>
      <c r="N93" s="31" t="s">
        <v>113</v>
      </c>
      <c r="O93" s="31" t="s">
        <v>114</v>
      </c>
      <c r="P93" s="31" t="s">
        <v>113</v>
      </c>
      <c r="Q93" s="31" t="s">
        <v>114</v>
      </c>
      <c r="R93" s="27"/>
      <c r="S93" s="30">
        <f>C92+D92+E92+F92+G92+H92+I92+J92+K92+L92+M92+N92+O92+P92+Q92+C93+D93+E93+F93+G93+H93+I93+J93+K93+L93+M93+N93+O93+P93+Q93+R93</f>
        <v>148</v>
      </c>
      <c r="T93" s="22"/>
      <c r="U93" s="56"/>
      <c r="V93" s="88"/>
      <c r="W93" s="89"/>
    </row>
    <row r="94" spans="1:23" ht="14.25" customHeight="1" x14ac:dyDescent="0.3">
      <c r="A94" s="57">
        <f>A92+1</f>
        <v>36</v>
      </c>
      <c r="B94" s="59" t="s">
        <v>73</v>
      </c>
      <c r="C94" s="31" t="s">
        <v>32</v>
      </c>
      <c r="D94" s="29" t="s">
        <v>32</v>
      </c>
      <c r="E94" s="29" t="s">
        <v>32</v>
      </c>
      <c r="F94" s="29" t="s">
        <v>32</v>
      </c>
      <c r="G94" s="29" t="s">
        <v>32</v>
      </c>
      <c r="H94" s="27"/>
      <c r="I94" s="27"/>
      <c r="J94" s="29" t="s">
        <v>32</v>
      </c>
      <c r="K94" s="29" t="s">
        <v>32</v>
      </c>
      <c r="L94" s="29" t="s">
        <v>32</v>
      </c>
      <c r="M94" s="29" t="s">
        <v>32</v>
      </c>
      <c r="N94" s="29" t="s">
        <v>32</v>
      </c>
      <c r="O94" s="27"/>
      <c r="P94" s="27"/>
      <c r="Q94" s="31" t="s">
        <v>36</v>
      </c>
      <c r="R94" s="27"/>
      <c r="S94" s="22" t="s">
        <v>21</v>
      </c>
      <c r="T94" s="22" t="s">
        <v>31</v>
      </c>
      <c r="U94" s="55">
        <f>S95*104</f>
        <v>8996</v>
      </c>
      <c r="V94" s="87">
        <v>4</v>
      </c>
      <c r="W94" s="87">
        <f>U94+V94</f>
        <v>9000</v>
      </c>
    </row>
    <row r="95" spans="1:23" ht="14.25" customHeight="1" x14ac:dyDescent="0.3">
      <c r="A95" s="58"/>
      <c r="B95" s="60"/>
      <c r="C95" s="27" t="s">
        <v>32</v>
      </c>
      <c r="D95" s="27" t="s">
        <v>32</v>
      </c>
      <c r="E95" s="27" t="s">
        <v>32</v>
      </c>
      <c r="F95" s="31" t="s">
        <v>37</v>
      </c>
      <c r="G95" s="27"/>
      <c r="H95" s="27"/>
      <c r="I95" s="27" t="s">
        <v>32</v>
      </c>
      <c r="J95" s="27" t="s">
        <v>32</v>
      </c>
      <c r="K95" s="27" t="s">
        <v>32</v>
      </c>
      <c r="L95" s="27" t="s">
        <v>32</v>
      </c>
      <c r="M95" s="27" t="s">
        <v>32</v>
      </c>
      <c r="N95" s="27"/>
      <c r="O95" s="27"/>
      <c r="P95" s="27" t="s">
        <v>32</v>
      </c>
      <c r="Q95" s="27" t="s">
        <v>32</v>
      </c>
      <c r="R95" s="27"/>
      <c r="S95" s="30">
        <f>C94+D94+E94+F94+G94+H94+I94+J94+K94+L94+M94+N94+O94+P94+Q94+C95+D95+E95+F95+G95+H95+I95+J95+K95+L95+M95+N95+O95+P95+Q95+R95</f>
        <v>86.5</v>
      </c>
      <c r="T95" s="22"/>
      <c r="U95" s="56"/>
      <c r="V95" s="87"/>
      <c r="W95" s="87"/>
    </row>
    <row r="96" spans="1:23" ht="14.25" customHeight="1" x14ac:dyDescent="0.3">
      <c r="A96" s="57">
        <f>A94+1</f>
        <v>37</v>
      </c>
      <c r="B96" s="59" t="s">
        <v>74</v>
      </c>
      <c r="C96" s="31"/>
      <c r="D96" s="29"/>
      <c r="E96" s="29" t="s">
        <v>32</v>
      </c>
      <c r="F96" s="29" t="s">
        <v>32</v>
      </c>
      <c r="G96" s="33" t="s">
        <v>32</v>
      </c>
      <c r="H96" s="31" t="s">
        <v>32</v>
      </c>
      <c r="I96" s="31" t="s">
        <v>37</v>
      </c>
      <c r="J96" s="29"/>
      <c r="K96" s="29"/>
      <c r="L96" s="29" t="s">
        <v>32</v>
      </c>
      <c r="M96" s="29" t="s">
        <v>32</v>
      </c>
      <c r="N96" s="29" t="s">
        <v>32</v>
      </c>
      <c r="O96" s="31" t="s">
        <v>32</v>
      </c>
      <c r="P96" s="31" t="s">
        <v>36</v>
      </c>
      <c r="Q96" s="31"/>
      <c r="R96" s="27"/>
      <c r="S96" s="22" t="s">
        <v>21</v>
      </c>
      <c r="T96" s="22" t="s">
        <v>31</v>
      </c>
      <c r="U96" s="55">
        <f>S97*104</f>
        <v>8996</v>
      </c>
      <c r="V96" s="87">
        <v>4</v>
      </c>
      <c r="W96" s="87">
        <f>U96+V96</f>
        <v>9000</v>
      </c>
    </row>
    <row r="97" spans="1:23" ht="14.25" customHeight="1" x14ac:dyDescent="0.3">
      <c r="A97" s="58"/>
      <c r="B97" s="60"/>
      <c r="C97" s="27"/>
      <c r="D97" s="27" t="s">
        <v>32</v>
      </c>
      <c r="E97" s="27" t="s">
        <v>32</v>
      </c>
      <c r="F97" s="31" t="s">
        <v>32</v>
      </c>
      <c r="G97" s="27"/>
      <c r="H97" s="31" t="s">
        <v>32</v>
      </c>
      <c r="I97" s="27" t="s">
        <v>32</v>
      </c>
      <c r="J97" s="27" t="s">
        <v>32</v>
      </c>
      <c r="K97" s="27" t="s">
        <v>32</v>
      </c>
      <c r="L97" s="27"/>
      <c r="M97" s="27" t="s">
        <v>32</v>
      </c>
      <c r="N97" s="31" t="s">
        <v>32</v>
      </c>
      <c r="O97" s="31" t="s">
        <v>32</v>
      </c>
      <c r="P97" s="27" t="s">
        <v>32</v>
      </c>
      <c r="Q97" s="27" t="s">
        <v>32</v>
      </c>
      <c r="R97" s="27"/>
      <c r="S97" s="30">
        <f>C96+D96+E96+F96+G96+H96+I96+J96+K96+L96+M96+N96+O96+P96+Q96+C97+D97+E97+F97+G97+H97+I97+J97+K97+L97+M97+N97+O97+P97+Q97+R97</f>
        <v>86.5</v>
      </c>
      <c r="T97" s="22"/>
      <c r="U97" s="56"/>
      <c r="V97" s="87"/>
      <c r="W97" s="87"/>
    </row>
    <row r="98" spans="1:23" ht="14.25" customHeight="1" x14ac:dyDescent="0.3">
      <c r="A98" s="57">
        <f>A96+1</f>
        <v>38</v>
      </c>
      <c r="B98" s="59" t="s">
        <v>75</v>
      </c>
      <c r="C98" s="31"/>
      <c r="D98" s="33" t="s">
        <v>37</v>
      </c>
      <c r="E98" s="29" t="s">
        <v>32</v>
      </c>
      <c r="F98" s="29" t="s">
        <v>32</v>
      </c>
      <c r="G98" s="33" t="s">
        <v>32</v>
      </c>
      <c r="H98" s="31" t="s">
        <v>32</v>
      </c>
      <c r="I98" s="31"/>
      <c r="J98" s="29"/>
      <c r="K98" s="29"/>
      <c r="L98" s="29" t="s">
        <v>32</v>
      </c>
      <c r="M98" s="29" t="s">
        <v>32</v>
      </c>
      <c r="N98" s="29" t="s">
        <v>32</v>
      </c>
      <c r="O98" s="31" t="s">
        <v>32</v>
      </c>
      <c r="P98" s="31" t="s">
        <v>36</v>
      </c>
      <c r="Q98" s="31"/>
      <c r="R98" s="27"/>
      <c r="S98" s="22" t="s">
        <v>21</v>
      </c>
      <c r="T98" s="22" t="s">
        <v>31</v>
      </c>
      <c r="U98" s="55">
        <f>S99*104</f>
        <v>8996</v>
      </c>
      <c r="V98" s="87">
        <v>4</v>
      </c>
      <c r="W98" s="87">
        <f>U98+V98</f>
        <v>9000</v>
      </c>
    </row>
    <row r="99" spans="1:23" ht="14.25" customHeight="1" x14ac:dyDescent="0.3">
      <c r="A99" s="58"/>
      <c r="B99" s="60"/>
      <c r="C99" s="31" t="s">
        <v>32</v>
      </c>
      <c r="D99" s="27" t="s">
        <v>32</v>
      </c>
      <c r="E99" s="27" t="s">
        <v>32</v>
      </c>
      <c r="F99" s="31" t="s">
        <v>32</v>
      </c>
      <c r="G99" s="27"/>
      <c r="H99" s="31" t="s">
        <v>32</v>
      </c>
      <c r="I99" s="27" t="s">
        <v>32</v>
      </c>
      <c r="J99" s="27" t="s">
        <v>32</v>
      </c>
      <c r="K99" s="27" t="s">
        <v>32</v>
      </c>
      <c r="L99" s="27"/>
      <c r="M99" s="27" t="s">
        <v>32</v>
      </c>
      <c r="N99" s="31" t="s">
        <v>32</v>
      </c>
      <c r="O99" s="31" t="s">
        <v>32</v>
      </c>
      <c r="P99" s="27" t="s">
        <v>32</v>
      </c>
      <c r="Q99" s="27"/>
      <c r="R99" s="27"/>
      <c r="S99" s="30">
        <f>C98+D98+E98+F98+G98+H98+I98+J98+K98+L98+M98+N98+O98+P98+Q98+C99+D99+E99+F99+G99+H99+I99+J99+K99+L99+M99+N99+O99+P99+Q99+R99</f>
        <v>86.5</v>
      </c>
      <c r="T99" s="22"/>
      <c r="U99" s="56"/>
      <c r="V99" s="87"/>
      <c r="W99" s="87"/>
    </row>
    <row r="100" spans="1:23" ht="14.25" customHeight="1" x14ac:dyDescent="0.3">
      <c r="A100" s="57">
        <f>A98+1</f>
        <v>39</v>
      </c>
      <c r="B100" s="59" t="s">
        <v>76</v>
      </c>
      <c r="C100" s="31" t="s">
        <v>32</v>
      </c>
      <c r="D100" s="29" t="s">
        <v>32</v>
      </c>
      <c r="E100" s="33" t="s">
        <v>36</v>
      </c>
      <c r="F100" s="29" t="s">
        <v>32</v>
      </c>
      <c r="G100" s="29" t="s">
        <v>32</v>
      </c>
      <c r="H100" s="27"/>
      <c r="I100" s="27"/>
      <c r="J100" s="29" t="s">
        <v>32</v>
      </c>
      <c r="K100" s="29" t="s">
        <v>32</v>
      </c>
      <c r="L100" s="29" t="s">
        <v>32</v>
      </c>
      <c r="M100" s="29" t="s">
        <v>32</v>
      </c>
      <c r="N100" s="29" t="s">
        <v>32</v>
      </c>
      <c r="O100" s="27"/>
      <c r="P100" s="27"/>
      <c r="Q100" s="31" t="s">
        <v>32</v>
      </c>
      <c r="R100" s="27"/>
      <c r="S100" s="22" t="s">
        <v>21</v>
      </c>
      <c r="T100" s="22" t="s">
        <v>31</v>
      </c>
      <c r="U100" s="55">
        <f>S101*104</f>
        <v>8996</v>
      </c>
      <c r="V100" s="87">
        <v>4</v>
      </c>
      <c r="W100" s="87">
        <f>U100+V100</f>
        <v>9000</v>
      </c>
    </row>
    <row r="101" spans="1:23" ht="14.25" customHeight="1" x14ac:dyDescent="0.3">
      <c r="A101" s="58"/>
      <c r="B101" s="60"/>
      <c r="C101" s="31" t="s">
        <v>37</v>
      </c>
      <c r="D101" s="27" t="s">
        <v>32</v>
      </c>
      <c r="E101" s="27" t="s">
        <v>32</v>
      </c>
      <c r="F101" s="31" t="s">
        <v>32</v>
      </c>
      <c r="G101" s="27"/>
      <c r="H101" s="27"/>
      <c r="I101" s="27" t="s">
        <v>32</v>
      </c>
      <c r="J101" s="27" t="s">
        <v>32</v>
      </c>
      <c r="K101" s="27" t="s">
        <v>32</v>
      </c>
      <c r="L101" s="27" t="s">
        <v>32</v>
      </c>
      <c r="M101" s="27" t="s">
        <v>32</v>
      </c>
      <c r="N101" s="27"/>
      <c r="O101" s="27"/>
      <c r="P101" s="27" t="s">
        <v>32</v>
      </c>
      <c r="Q101" s="27" t="s">
        <v>32</v>
      </c>
      <c r="R101" s="27"/>
      <c r="S101" s="30">
        <f>C100+D100+E100+F100+G100+H100+I100+J100+K100+L100+M100+N100+O100+P100+Q100+C101+D101+E101+F101+G101+H101+I101+J101+K101+L101+M101+N101+O101+P101+Q101+R101</f>
        <v>86.5</v>
      </c>
      <c r="T101" s="22"/>
      <c r="U101" s="56"/>
      <c r="V101" s="87"/>
      <c r="W101" s="87"/>
    </row>
    <row r="102" spans="1:23" ht="14.25" customHeight="1" x14ac:dyDescent="0.3">
      <c r="A102" s="57">
        <f>A100+1</f>
        <v>40</v>
      </c>
      <c r="B102" s="59" t="s">
        <v>77</v>
      </c>
      <c r="C102" s="31"/>
      <c r="D102" s="29"/>
      <c r="E102" s="29" t="s">
        <v>32</v>
      </c>
      <c r="F102" s="29" t="s">
        <v>32</v>
      </c>
      <c r="G102" s="33" t="s">
        <v>32</v>
      </c>
      <c r="H102" s="31" t="s">
        <v>32</v>
      </c>
      <c r="I102" s="31" t="s">
        <v>37</v>
      </c>
      <c r="J102" s="29"/>
      <c r="K102" s="29"/>
      <c r="L102" s="29" t="s">
        <v>32</v>
      </c>
      <c r="M102" s="29" t="s">
        <v>32</v>
      </c>
      <c r="N102" s="29" t="s">
        <v>32</v>
      </c>
      <c r="O102" s="31" t="s">
        <v>32</v>
      </c>
      <c r="P102" s="31" t="s">
        <v>36</v>
      </c>
      <c r="Q102" s="31"/>
      <c r="R102" s="27"/>
      <c r="S102" s="22" t="s">
        <v>21</v>
      </c>
      <c r="T102" s="22" t="s">
        <v>31</v>
      </c>
      <c r="U102" s="55">
        <f>S103*104</f>
        <v>8996</v>
      </c>
      <c r="V102" s="87">
        <v>4</v>
      </c>
      <c r="W102" s="87">
        <f>U102+V102</f>
        <v>9000</v>
      </c>
    </row>
    <row r="103" spans="1:23" ht="14.25" customHeight="1" x14ac:dyDescent="0.3">
      <c r="A103" s="58"/>
      <c r="B103" s="60"/>
      <c r="C103" s="27"/>
      <c r="D103" s="27" t="s">
        <v>32</v>
      </c>
      <c r="E103" s="27" t="s">
        <v>32</v>
      </c>
      <c r="F103" s="31" t="s">
        <v>32</v>
      </c>
      <c r="G103" s="27"/>
      <c r="H103" s="31" t="s">
        <v>32</v>
      </c>
      <c r="I103" s="27" t="s">
        <v>32</v>
      </c>
      <c r="J103" s="27" t="s">
        <v>32</v>
      </c>
      <c r="K103" s="27" t="s">
        <v>32</v>
      </c>
      <c r="L103" s="27"/>
      <c r="M103" s="27" t="s">
        <v>32</v>
      </c>
      <c r="N103" s="31" t="s">
        <v>32</v>
      </c>
      <c r="O103" s="31" t="s">
        <v>32</v>
      </c>
      <c r="P103" s="27" t="s">
        <v>32</v>
      </c>
      <c r="Q103" s="27" t="s">
        <v>32</v>
      </c>
      <c r="R103" s="27"/>
      <c r="S103" s="30">
        <f>C102+D102+E102+F102+G102+H102+I102+J102+K102+L102+M102+N102+O102+P102+Q102+C103+D103+E103+F103+G103+H103+I103+J103+K103+L103+M103+N103+O103+P103+Q103+R103</f>
        <v>86.5</v>
      </c>
      <c r="T103" s="22"/>
      <c r="U103" s="56"/>
      <c r="V103" s="87"/>
      <c r="W103" s="87"/>
    </row>
    <row r="104" spans="1:23" s="14" customFormat="1" ht="14.25" customHeight="1" x14ac:dyDescent="0.25">
      <c r="A104" s="57">
        <f>A102+1</f>
        <v>41</v>
      </c>
      <c r="B104" s="59" t="s">
        <v>78</v>
      </c>
      <c r="C104" s="31" t="s">
        <v>32</v>
      </c>
      <c r="D104" s="29" t="s">
        <v>32</v>
      </c>
      <c r="E104" s="29" t="s">
        <v>32</v>
      </c>
      <c r="F104" s="29" t="s">
        <v>32</v>
      </c>
      <c r="G104" s="29" t="s">
        <v>32</v>
      </c>
      <c r="H104" s="27"/>
      <c r="I104" s="27"/>
      <c r="J104" s="29" t="s">
        <v>32</v>
      </c>
      <c r="K104" s="29" t="s">
        <v>32</v>
      </c>
      <c r="L104" s="29" t="s">
        <v>32</v>
      </c>
      <c r="M104" s="29" t="s">
        <v>32</v>
      </c>
      <c r="N104" s="29" t="s">
        <v>32</v>
      </c>
      <c r="O104" s="27"/>
      <c r="P104" s="27"/>
      <c r="Q104" s="31" t="s">
        <v>36</v>
      </c>
      <c r="R104" s="27"/>
      <c r="S104" s="22" t="s">
        <v>21</v>
      </c>
      <c r="T104" s="22" t="s">
        <v>31</v>
      </c>
      <c r="U104" s="55">
        <f>S105*104</f>
        <v>8996</v>
      </c>
      <c r="V104" s="87">
        <v>4</v>
      </c>
      <c r="W104" s="87">
        <f>U104+V104</f>
        <v>9000</v>
      </c>
    </row>
    <row r="105" spans="1:23" s="14" customFormat="1" ht="14.25" customHeight="1" x14ac:dyDescent="0.25">
      <c r="A105" s="58"/>
      <c r="B105" s="60"/>
      <c r="C105" s="27" t="s">
        <v>32</v>
      </c>
      <c r="D105" s="27" t="s">
        <v>32</v>
      </c>
      <c r="E105" s="27" t="s">
        <v>32</v>
      </c>
      <c r="F105" s="31" t="s">
        <v>37</v>
      </c>
      <c r="G105" s="27"/>
      <c r="H105" s="27"/>
      <c r="I105" s="27" t="s">
        <v>32</v>
      </c>
      <c r="J105" s="27" t="s">
        <v>32</v>
      </c>
      <c r="K105" s="27" t="s">
        <v>32</v>
      </c>
      <c r="L105" s="27" t="s">
        <v>32</v>
      </c>
      <c r="M105" s="27" t="s">
        <v>32</v>
      </c>
      <c r="N105" s="27"/>
      <c r="O105" s="27"/>
      <c r="P105" s="27" t="s">
        <v>32</v>
      </c>
      <c r="Q105" s="27" t="s">
        <v>32</v>
      </c>
      <c r="R105" s="27"/>
      <c r="S105" s="30">
        <f>C104+D104+E104+F104+G104+H104+I104+J104+K104+L104+M104+N104+O104+P104+Q104+C105+D105+E105+F105+G105+H105+I105+J105+K105+L105+M105+N105+O105+P105+Q105+R105</f>
        <v>86.5</v>
      </c>
      <c r="T105" s="22"/>
      <c r="U105" s="56"/>
      <c r="V105" s="87"/>
      <c r="W105" s="87"/>
    </row>
    <row r="106" spans="1:23" ht="14.25" customHeight="1" x14ac:dyDescent="0.3">
      <c r="A106" s="57">
        <f>A104+1</f>
        <v>42</v>
      </c>
      <c r="B106" s="59" t="s">
        <v>79</v>
      </c>
      <c r="C106" s="31"/>
      <c r="D106" s="29"/>
      <c r="E106" s="29" t="s">
        <v>32</v>
      </c>
      <c r="F106" s="29" t="s">
        <v>32</v>
      </c>
      <c r="G106" s="33" t="s">
        <v>32</v>
      </c>
      <c r="H106" s="31" t="s">
        <v>32</v>
      </c>
      <c r="I106" s="31" t="s">
        <v>37</v>
      </c>
      <c r="J106" s="29"/>
      <c r="K106" s="29"/>
      <c r="L106" s="29" t="s">
        <v>32</v>
      </c>
      <c r="M106" s="29" t="s">
        <v>32</v>
      </c>
      <c r="N106" s="29" t="s">
        <v>32</v>
      </c>
      <c r="O106" s="31" t="s">
        <v>32</v>
      </c>
      <c r="P106" s="31" t="s">
        <v>36</v>
      </c>
      <c r="Q106" s="31"/>
      <c r="R106" s="27"/>
      <c r="S106" s="22" t="s">
        <v>21</v>
      </c>
      <c r="T106" s="22" t="s">
        <v>31</v>
      </c>
      <c r="U106" s="55">
        <f>S107*104</f>
        <v>8996</v>
      </c>
      <c r="V106" s="87">
        <v>4</v>
      </c>
      <c r="W106" s="87">
        <f>U106+V106</f>
        <v>9000</v>
      </c>
    </row>
    <row r="107" spans="1:23" ht="14.25" customHeight="1" x14ac:dyDescent="0.3">
      <c r="A107" s="58"/>
      <c r="B107" s="60"/>
      <c r="C107" s="27"/>
      <c r="D107" s="27" t="s">
        <v>32</v>
      </c>
      <c r="E107" s="27" t="s">
        <v>32</v>
      </c>
      <c r="F107" s="31" t="s">
        <v>32</v>
      </c>
      <c r="G107" s="27"/>
      <c r="H107" s="31" t="s">
        <v>32</v>
      </c>
      <c r="I107" s="27" t="s">
        <v>32</v>
      </c>
      <c r="J107" s="27" t="s">
        <v>32</v>
      </c>
      <c r="K107" s="27" t="s">
        <v>32</v>
      </c>
      <c r="L107" s="27"/>
      <c r="M107" s="27" t="s">
        <v>32</v>
      </c>
      <c r="N107" s="31" t="s">
        <v>32</v>
      </c>
      <c r="O107" s="31" t="s">
        <v>32</v>
      </c>
      <c r="P107" s="27" t="s">
        <v>32</v>
      </c>
      <c r="Q107" s="27" t="s">
        <v>32</v>
      </c>
      <c r="R107" s="27"/>
      <c r="S107" s="30">
        <f>C106+D106+E106+F106+G106+H106+I106+J106+K106+L106+M106+N106+O106+P106+Q106+C107+D107+E107+F107+G107+H107+I107+J107+K107+L107+M107+N107+O107+P107+Q107+R107</f>
        <v>86.5</v>
      </c>
      <c r="T107" s="22"/>
      <c r="U107" s="56"/>
      <c r="V107" s="87"/>
      <c r="W107" s="87"/>
    </row>
    <row r="108" spans="1:23" ht="14.25" customHeight="1" x14ac:dyDescent="0.3">
      <c r="A108" s="57">
        <f>A106+1</f>
        <v>43</v>
      </c>
      <c r="B108" s="59" t="s">
        <v>80</v>
      </c>
      <c r="C108" s="31"/>
      <c r="D108" s="33" t="s">
        <v>37</v>
      </c>
      <c r="E108" s="29" t="s">
        <v>32</v>
      </c>
      <c r="F108" s="29" t="s">
        <v>32</v>
      </c>
      <c r="G108" s="33" t="s">
        <v>32</v>
      </c>
      <c r="H108" s="31" t="s">
        <v>32</v>
      </c>
      <c r="I108" s="31"/>
      <c r="J108" s="29"/>
      <c r="K108" s="29"/>
      <c r="L108" s="29" t="s">
        <v>32</v>
      </c>
      <c r="M108" s="29" t="s">
        <v>32</v>
      </c>
      <c r="N108" s="29" t="s">
        <v>32</v>
      </c>
      <c r="O108" s="31" t="s">
        <v>32</v>
      </c>
      <c r="P108" s="31" t="s">
        <v>36</v>
      </c>
      <c r="Q108" s="31"/>
      <c r="R108" s="27"/>
      <c r="S108" s="22" t="s">
        <v>21</v>
      </c>
      <c r="T108" s="22" t="s">
        <v>31</v>
      </c>
      <c r="U108" s="55">
        <f>S109*104</f>
        <v>8996</v>
      </c>
      <c r="V108" s="87">
        <v>4</v>
      </c>
      <c r="W108" s="87">
        <f>U108+V108</f>
        <v>9000</v>
      </c>
    </row>
    <row r="109" spans="1:23" ht="14.25" customHeight="1" x14ac:dyDescent="0.3">
      <c r="A109" s="58"/>
      <c r="B109" s="60"/>
      <c r="C109" s="31" t="s">
        <v>32</v>
      </c>
      <c r="D109" s="27" t="s">
        <v>32</v>
      </c>
      <c r="E109" s="27" t="s">
        <v>32</v>
      </c>
      <c r="F109" s="31" t="s">
        <v>32</v>
      </c>
      <c r="G109" s="27"/>
      <c r="H109" s="31" t="s">
        <v>32</v>
      </c>
      <c r="I109" s="27" t="s">
        <v>32</v>
      </c>
      <c r="J109" s="27" t="s">
        <v>32</v>
      </c>
      <c r="K109" s="27" t="s">
        <v>32</v>
      </c>
      <c r="L109" s="27"/>
      <c r="M109" s="27" t="s">
        <v>32</v>
      </c>
      <c r="N109" s="31" t="s">
        <v>32</v>
      </c>
      <c r="O109" s="31" t="s">
        <v>32</v>
      </c>
      <c r="P109" s="27" t="s">
        <v>32</v>
      </c>
      <c r="Q109" s="27"/>
      <c r="R109" s="27"/>
      <c r="S109" s="30">
        <f>C108+D108+E108+F108+G108+H108+I108+J108+K108+L108+M108+N108+O108+P108+Q108+C109+D109+E109+F109+G109+H109+I109+J109+K109+L109+M109+N109+O109+P109+Q109+R109</f>
        <v>86.5</v>
      </c>
      <c r="T109" s="22"/>
      <c r="U109" s="56"/>
      <c r="V109" s="87"/>
      <c r="W109" s="87"/>
    </row>
    <row r="110" spans="1:23" ht="14.25" customHeight="1" x14ac:dyDescent="0.3">
      <c r="A110" s="57">
        <f>A108+1</f>
        <v>44</v>
      </c>
      <c r="B110" s="59" t="s">
        <v>81</v>
      </c>
      <c r="C110" s="31" t="s">
        <v>32</v>
      </c>
      <c r="D110" s="29" t="s">
        <v>32</v>
      </c>
      <c r="E110" s="33" t="s">
        <v>36</v>
      </c>
      <c r="F110" s="29" t="s">
        <v>32</v>
      </c>
      <c r="G110" s="29" t="s">
        <v>32</v>
      </c>
      <c r="H110" s="27"/>
      <c r="I110" s="27"/>
      <c r="J110" s="29" t="s">
        <v>32</v>
      </c>
      <c r="K110" s="29" t="s">
        <v>32</v>
      </c>
      <c r="L110" s="29" t="s">
        <v>32</v>
      </c>
      <c r="M110" s="29" t="s">
        <v>32</v>
      </c>
      <c r="N110" s="29" t="s">
        <v>32</v>
      </c>
      <c r="O110" s="27"/>
      <c r="P110" s="27"/>
      <c r="Q110" s="31" t="s">
        <v>32</v>
      </c>
      <c r="R110" s="27"/>
      <c r="S110" s="22" t="s">
        <v>21</v>
      </c>
      <c r="T110" s="22" t="s">
        <v>31</v>
      </c>
      <c r="U110" s="55">
        <f>S111*104</f>
        <v>8996</v>
      </c>
      <c r="V110" s="87">
        <v>4</v>
      </c>
      <c r="W110" s="87">
        <f>U110+V110</f>
        <v>9000</v>
      </c>
    </row>
    <row r="111" spans="1:23" ht="14.25" customHeight="1" x14ac:dyDescent="0.3">
      <c r="A111" s="58"/>
      <c r="B111" s="60"/>
      <c r="C111" s="31" t="s">
        <v>37</v>
      </c>
      <c r="D111" s="27" t="s">
        <v>32</v>
      </c>
      <c r="E111" s="27" t="s">
        <v>32</v>
      </c>
      <c r="F111" s="31" t="s">
        <v>32</v>
      </c>
      <c r="G111" s="27"/>
      <c r="H111" s="27"/>
      <c r="I111" s="27" t="s">
        <v>32</v>
      </c>
      <c r="J111" s="27" t="s">
        <v>32</v>
      </c>
      <c r="K111" s="27" t="s">
        <v>32</v>
      </c>
      <c r="L111" s="27" t="s">
        <v>32</v>
      </c>
      <c r="M111" s="27" t="s">
        <v>32</v>
      </c>
      <c r="N111" s="27"/>
      <c r="O111" s="27"/>
      <c r="P111" s="27" t="s">
        <v>32</v>
      </c>
      <c r="Q111" s="27" t="s">
        <v>32</v>
      </c>
      <c r="R111" s="27"/>
      <c r="S111" s="30">
        <f>C110+D110+E110+F110+G110+H110+I110+J110+K110+L110+M110+N110+O110+P110+Q110+C111+D111+E111+F111+G111+H111+I111+J111+K111+L111+M111+N111+O111+P111+Q111+R111</f>
        <v>86.5</v>
      </c>
      <c r="T111" s="22"/>
      <c r="U111" s="56"/>
      <c r="V111" s="87"/>
      <c r="W111" s="87"/>
    </row>
    <row r="112" spans="1:23" ht="14.25" customHeight="1" x14ac:dyDescent="0.3">
      <c r="A112" s="57">
        <f>A110+1</f>
        <v>45</v>
      </c>
      <c r="B112" s="59" t="s">
        <v>82</v>
      </c>
      <c r="C112" s="31"/>
      <c r="D112" s="29"/>
      <c r="E112" s="29" t="s">
        <v>32</v>
      </c>
      <c r="F112" s="29" t="s">
        <v>32</v>
      </c>
      <c r="G112" s="33" t="s">
        <v>32</v>
      </c>
      <c r="H112" s="31" t="s">
        <v>32</v>
      </c>
      <c r="I112" s="31" t="s">
        <v>37</v>
      </c>
      <c r="J112" s="29"/>
      <c r="K112" s="29"/>
      <c r="L112" s="29" t="s">
        <v>32</v>
      </c>
      <c r="M112" s="29" t="s">
        <v>32</v>
      </c>
      <c r="N112" s="29" t="s">
        <v>32</v>
      </c>
      <c r="O112" s="31" t="s">
        <v>32</v>
      </c>
      <c r="P112" s="31" t="s">
        <v>36</v>
      </c>
      <c r="Q112" s="31"/>
      <c r="R112" s="27"/>
      <c r="S112" s="22" t="s">
        <v>21</v>
      </c>
      <c r="T112" s="22" t="s">
        <v>31</v>
      </c>
      <c r="U112" s="55">
        <f>S113*104</f>
        <v>8996</v>
      </c>
      <c r="V112" s="87">
        <v>4</v>
      </c>
      <c r="W112" s="87">
        <f>U112+V112</f>
        <v>9000</v>
      </c>
    </row>
    <row r="113" spans="1:23" ht="14.25" customHeight="1" x14ac:dyDescent="0.3">
      <c r="A113" s="58"/>
      <c r="B113" s="60"/>
      <c r="C113" s="27"/>
      <c r="D113" s="27" t="s">
        <v>32</v>
      </c>
      <c r="E113" s="27" t="s">
        <v>32</v>
      </c>
      <c r="F113" s="31" t="s">
        <v>32</v>
      </c>
      <c r="G113" s="27"/>
      <c r="H113" s="31" t="s">
        <v>32</v>
      </c>
      <c r="I113" s="27" t="s">
        <v>32</v>
      </c>
      <c r="J113" s="27" t="s">
        <v>32</v>
      </c>
      <c r="K113" s="27" t="s">
        <v>32</v>
      </c>
      <c r="L113" s="27"/>
      <c r="M113" s="27" t="s">
        <v>32</v>
      </c>
      <c r="N113" s="31" t="s">
        <v>32</v>
      </c>
      <c r="O113" s="31" t="s">
        <v>32</v>
      </c>
      <c r="P113" s="27" t="s">
        <v>32</v>
      </c>
      <c r="Q113" s="27" t="s">
        <v>32</v>
      </c>
      <c r="R113" s="27"/>
      <c r="S113" s="30">
        <f>C112+D112+E112+F112+G112+H112+I112+J112+K112+L112+M112+N112+O112+P112+Q112+C113+D113+E113+F113+G113+H113+I113+J113+K113+L113+M113+N113+O113+P113+Q113+R113</f>
        <v>86.5</v>
      </c>
      <c r="T113" s="22"/>
      <c r="U113" s="56"/>
      <c r="V113" s="87"/>
      <c r="W113" s="87"/>
    </row>
    <row r="114" spans="1:23" ht="14.25" customHeight="1" x14ac:dyDescent="0.3">
      <c r="A114" s="57">
        <f>A112+1</f>
        <v>46</v>
      </c>
      <c r="B114" s="59" t="s">
        <v>83</v>
      </c>
      <c r="C114" s="31" t="s">
        <v>32</v>
      </c>
      <c r="D114" s="29" t="s">
        <v>32</v>
      </c>
      <c r="E114" s="29" t="s">
        <v>32</v>
      </c>
      <c r="F114" s="29" t="s">
        <v>32</v>
      </c>
      <c r="G114" s="29" t="s">
        <v>32</v>
      </c>
      <c r="H114" s="27"/>
      <c r="I114" s="27"/>
      <c r="J114" s="29" t="s">
        <v>32</v>
      </c>
      <c r="K114" s="29" t="s">
        <v>32</v>
      </c>
      <c r="L114" s="29" t="s">
        <v>32</v>
      </c>
      <c r="M114" s="29" t="s">
        <v>32</v>
      </c>
      <c r="N114" s="29" t="s">
        <v>32</v>
      </c>
      <c r="O114" s="27"/>
      <c r="P114" s="27"/>
      <c r="Q114" s="31" t="s">
        <v>36</v>
      </c>
      <c r="R114" s="27"/>
      <c r="S114" s="22" t="s">
        <v>21</v>
      </c>
      <c r="T114" s="22" t="s">
        <v>31</v>
      </c>
      <c r="U114" s="55">
        <f>S115*104</f>
        <v>8996</v>
      </c>
      <c r="V114" s="87">
        <v>4</v>
      </c>
      <c r="W114" s="87">
        <f>U114+V114</f>
        <v>9000</v>
      </c>
    </row>
    <row r="115" spans="1:23" ht="14.25" customHeight="1" x14ac:dyDescent="0.3">
      <c r="A115" s="58"/>
      <c r="B115" s="60"/>
      <c r="C115" s="27" t="s">
        <v>32</v>
      </c>
      <c r="D115" s="27" t="s">
        <v>32</v>
      </c>
      <c r="E115" s="27" t="s">
        <v>32</v>
      </c>
      <c r="F115" s="31" t="s">
        <v>37</v>
      </c>
      <c r="G115" s="27"/>
      <c r="H115" s="27"/>
      <c r="I115" s="27" t="s">
        <v>32</v>
      </c>
      <c r="J115" s="27" t="s">
        <v>32</v>
      </c>
      <c r="K115" s="27" t="s">
        <v>32</v>
      </c>
      <c r="L115" s="27" t="s">
        <v>32</v>
      </c>
      <c r="M115" s="27" t="s">
        <v>32</v>
      </c>
      <c r="N115" s="27"/>
      <c r="O115" s="27"/>
      <c r="P115" s="27" t="s">
        <v>32</v>
      </c>
      <c r="Q115" s="27" t="s">
        <v>32</v>
      </c>
      <c r="R115" s="27"/>
      <c r="S115" s="30">
        <f>C114+D114+E114+F114+G114+H114+I114+J114+K114+L114+M114+N114+O114+P114+Q114+C115+D115+E115+F115+G115+H115+I115+J115+K115+L115+M115+N115+O115+P115+Q115+R115</f>
        <v>86.5</v>
      </c>
      <c r="T115" s="22"/>
      <c r="U115" s="56"/>
      <c r="V115" s="87"/>
      <c r="W115" s="87"/>
    </row>
    <row r="116" spans="1:23" ht="14.25" customHeight="1" x14ac:dyDescent="0.3">
      <c r="A116" s="57">
        <f>A114+1</f>
        <v>47</v>
      </c>
      <c r="B116" s="59" t="s">
        <v>84</v>
      </c>
      <c r="C116" s="31"/>
      <c r="D116" s="29"/>
      <c r="E116" s="29" t="s">
        <v>32</v>
      </c>
      <c r="F116" s="29" t="s">
        <v>32</v>
      </c>
      <c r="G116" s="33" t="s">
        <v>32</v>
      </c>
      <c r="H116" s="31" t="s">
        <v>32</v>
      </c>
      <c r="I116" s="31" t="s">
        <v>37</v>
      </c>
      <c r="J116" s="29"/>
      <c r="K116" s="29"/>
      <c r="L116" s="29" t="s">
        <v>32</v>
      </c>
      <c r="M116" s="29" t="s">
        <v>32</v>
      </c>
      <c r="N116" s="29" t="s">
        <v>32</v>
      </c>
      <c r="O116" s="31" t="s">
        <v>32</v>
      </c>
      <c r="P116" s="31" t="s">
        <v>36</v>
      </c>
      <c r="Q116" s="31"/>
      <c r="R116" s="27"/>
      <c r="S116" s="22" t="s">
        <v>21</v>
      </c>
      <c r="T116" s="22" t="s">
        <v>31</v>
      </c>
      <c r="U116" s="55">
        <f>S117*104</f>
        <v>8996</v>
      </c>
      <c r="V116" s="87">
        <v>4</v>
      </c>
      <c r="W116" s="87">
        <f>U116+V116</f>
        <v>9000</v>
      </c>
    </row>
    <row r="117" spans="1:23" ht="14.25" customHeight="1" x14ac:dyDescent="0.3">
      <c r="A117" s="58"/>
      <c r="B117" s="60"/>
      <c r="C117" s="27"/>
      <c r="D117" s="27" t="s">
        <v>32</v>
      </c>
      <c r="E117" s="27" t="s">
        <v>32</v>
      </c>
      <c r="F117" s="31" t="s">
        <v>32</v>
      </c>
      <c r="G117" s="27"/>
      <c r="H117" s="31" t="s">
        <v>32</v>
      </c>
      <c r="I117" s="27" t="s">
        <v>32</v>
      </c>
      <c r="J117" s="27" t="s">
        <v>32</v>
      </c>
      <c r="K117" s="27" t="s">
        <v>32</v>
      </c>
      <c r="L117" s="27"/>
      <c r="M117" s="27" t="s">
        <v>32</v>
      </c>
      <c r="N117" s="31" t="s">
        <v>32</v>
      </c>
      <c r="O117" s="31" t="s">
        <v>32</v>
      </c>
      <c r="P117" s="27" t="s">
        <v>32</v>
      </c>
      <c r="Q117" s="27" t="s">
        <v>32</v>
      </c>
      <c r="R117" s="27"/>
      <c r="S117" s="30">
        <f>C116+D116+E116+F116+G116+H116+I116+J116+K116+L116+M116+N116+O116+P116+Q116+C117+D117+E117+F117+G117+H117+I117+J117+K117+L117+M117+N117+O117+P117+Q117+R117</f>
        <v>86.5</v>
      </c>
      <c r="T117" s="22"/>
      <c r="U117" s="56"/>
      <c r="V117" s="87"/>
      <c r="W117" s="87"/>
    </row>
    <row r="118" spans="1:23" ht="14.25" customHeight="1" x14ac:dyDescent="0.3">
      <c r="A118" s="57">
        <f>A116+1</f>
        <v>48</v>
      </c>
      <c r="B118" s="59" t="s">
        <v>85</v>
      </c>
      <c r="C118" s="31"/>
      <c r="D118" s="33" t="s">
        <v>37</v>
      </c>
      <c r="E118" s="29" t="s">
        <v>32</v>
      </c>
      <c r="F118" s="29" t="s">
        <v>32</v>
      </c>
      <c r="G118" s="33" t="s">
        <v>32</v>
      </c>
      <c r="H118" s="31" t="s">
        <v>32</v>
      </c>
      <c r="I118" s="31"/>
      <c r="J118" s="29"/>
      <c r="K118" s="29"/>
      <c r="L118" s="29" t="s">
        <v>32</v>
      </c>
      <c r="M118" s="29" t="s">
        <v>32</v>
      </c>
      <c r="N118" s="29" t="s">
        <v>32</v>
      </c>
      <c r="O118" s="31" t="s">
        <v>32</v>
      </c>
      <c r="P118" s="31" t="s">
        <v>36</v>
      </c>
      <c r="Q118" s="31"/>
      <c r="R118" s="27"/>
      <c r="S118" s="22" t="s">
        <v>21</v>
      </c>
      <c r="T118" s="22" t="s">
        <v>31</v>
      </c>
      <c r="U118" s="55">
        <f>S119*104</f>
        <v>8996</v>
      </c>
      <c r="V118" s="87">
        <v>4</v>
      </c>
      <c r="W118" s="87">
        <f>U118+V118</f>
        <v>9000</v>
      </c>
    </row>
    <row r="119" spans="1:23" ht="14.25" customHeight="1" x14ac:dyDescent="0.3">
      <c r="A119" s="58"/>
      <c r="B119" s="60"/>
      <c r="C119" s="31" t="s">
        <v>32</v>
      </c>
      <c r="D119" s="27" t="s">
        <v>32</v>
      </c>
      <c r="E119" s="27" t="s">
        <v>32</v>
      </c>
      <c r="F119" s="31" t="s">
        <v>32</v>
      </c>
      <c r="G119" s="27"/>
      <c r="H119" s="31" t="s">
        <v>32</v>
      </c>
      <c r="I119" s="27" t="s">
        <v>32</v>
      </c>
      <c r="J119" s="27" t="s">
        <v>32</v>
      </c>
      <c r="K119" s="27" t="s">
        <v>32</v>
      </c>
      <c r="L119" s="27"/>
      <c r="M119" s="27" t="s">
        <v>32</v>
      </c>
      <c r="N119" s="31" t="s">
        <v>32</v>
      </c>
      <c r="O119" s="31" t="s">
        <v>32</v>
      </c>
      <c r="P119" s="27" t="s">
        <v>32</v>
      </c>
      <c r="Q119" s="27"/>
      <c r="R119" s="27"/>
      <c r="S119" s="30">
        <f>C118+D118+E118+F118+G118+H118+I118+J118+K118+L118+M118+N118+O118+P118+Q118+C119+D119+E119+F119+G119+H119+I119+J119+K119+L119+M119+N119+O119+P119+Q119+R119</f>
        <v>86.5</v>
      </c>
      <c r="T119" s="22"/>
      <c r="U119" s="56"/>
      <c r="V119" s="87"/>
      <c r="W119" s="87"/>
    </row>
    <row r="120" spans="1:23" ht="14.25" customHeight="1" x14ac:dyDescent="0.3">
      <c r="A120" s="57">
        <f>A118+1</f>
        <v>49</v>
      </c>
      <c r="B120" s="59" t="s">
        <v>86</v>
      </c>
      <c r="C120" s="31" t="s">
        <v>32</v>
      </c>
      <c r="D120" s="29" t="s">
        <v>32</v>
      </c>
      <c r="E120" s="33" t="s">
        <v>36</v>
      </c>
      <c r="F120" s="29" t="s">
        <v>32</v>
      </c>
      <c r="G120" s="29" t="s">
        <v>32</v>
      </c>
      <c r="H120" s="27"/>
      <c r="I120" s="27"/>
      <c r="J120" s="29" t="s">
        <v>32</v>
      </c>
      <c r="K120" s="29" t="s">
        <v>32</v>
      </c>
      <c r="L120" s="29" t="s">
        <v>32</v>
      </c>
      <c r="M120" s="29" t="s">
        <v>32</v>
      </c>
      <c r="N120" s="29" t="s">
        <v>32</v>
      </c>
      <c r="O120" s="27"/>
      <c r="P120" s="27"/>
      <c r="Q120" s="31" t="s">
        <v>32</v>
      </c>
      <c r="R120" s="27"/>
      <c r="S120" s="22" t="s">
        <v>21</v>
      </c>
      <c r="T120" s="22" t="s">
        <v>31</v>
      </c>
      <c r="U120" s="55">
        <f>S121*104</f>
        <v>8996</v>
      </c>
      <c r="V120" s="87">
        <v>4</v>
      </c>
      <c r="W120" s="87">
        <f>U120+V120</f>
        <v>9000</v>
      </c>
    </row>
    <row r="121" spans="1:23" ht="14.25" customHeight="1" x14ac:dyDescent="0.3">
      <c r="A121" s="58"/>
      <c r="B121" s="60"/>
      <c r="C121" s="31" t="s">
        <v>37</v>
      </c>
      <c r="D121" s="27" t="s">
        <v>32</v>
      </c>
      <c r="E121" s="27" t="s">
        <v>32</v>
      </c>
      <c r="F121" s="31" t="s">
        <v>32</v>
      </c>
      <c r="G121" s="27"/>
      <c r="H121" s="27"/>
      <c r="I121" s="27" t="s">
        <v>32</v>
      </c>
      <c r="J121" s="27" t="s">
        <v>32</v>
      </c>
      <c r="K121" s="27" t="s">
        <v>32</v>
      </c>
      <c r="L121" s="27" t="s">
        <v>32</v>
      </c>
      <c r="M121" s="27" t="s">
        <v>32</v>
      </c>
      <c r="N121" s="27"/>
      <c r="O121" s="27"/>
      <c r="P121" s="27" t="s">
        <v>32</v>
      </c>
      <c r="Q121" s="27" t="s">
        <v>32</v>
      </c>
      <c r="R121" s="27"/>
      <c r="S121" s="30">
        <f>C120+D120+E120+F120+G120+H120+I120+J120+K120+L120+M120+N120+O120+P120+Q120+C121+D121+E121+F121+G121+H121+I121+J121+K121+L121+M121+N121+O121+P121+Q121+R121</f>
        <v>86.5</v>
      </c>
      <c r="T121" s="22"/>
      <c r="U121" s="56"/>
      <c r="V121" s="87"/>
      <c r="W121" s="87"/>
    </row>
    <row r="122" spans="1:23" ht="14.25" customHeight="1" x14ac:dyDescent="0.3">
      <c r="A122" s="57">
        <f>A120+1</f>
        <v>50</v>
      </c>
      <c r="B122" s="61" t="s">
        <v>111</v>
      </c>
      <c r="C122" s="31"/>
      <c r="D122" s="29"/>
      <c r="E122" s="33" t="s">
        <v>113</v>
      </c>
      <c r="F122" s="29" t="s">
        <v>32</v>
      </c>
      <c r="G122" s="33" t="s">
        <v>33</v>
      </c>
      <c r="H122" s="31" t="s">
        <v>32</v>
      </c>
      <c r="I122" s="31" t="s">
        <v>37</v>
      </c>
      <c r="J122" s="29"/>
      <c r="K122" s="29"/>
      <c r="L122" s="29" t="s">
        <v>32</v>
      </c>
      <c r="M122" s="33" t="s">
        <v>114</v>
      </c>
      <c r="N122" s="29" t="s">
        <v>32</v>
      </c>
      <c r="O122" s="31" t="s">
        <v>114</v>
      </c>
      <c r="P122" s="31" t="s">
        <v>36</v>
      </c>
      <c r="Q122" s="31"/>
      <c r="R122" s="27"/>
      <c r="S122" s="22" t="s">
        <v>21</v>
      </c>
      <c r="T122" s="22" t="s">
        <v>31</v>
      </c>
      <c r="U122" s="55">
        <f>S123*104</f>
        <v>11596</v>
      </c>
      <c r="V122" s="87">
        <v>13</v>
      </c>
      <c r="W122" s="87">
        <f>U122+V122</f>
        <v>11609</v>
      </c>
    </row>
    <row r="123" spans="1:23" ht="14.25" customHeight="1" x14ac:dyDescent="0.3">
      <c r="A123" s="58"/>
      <c r="B123" s="60"/>
      <c r="C123" s="27"/>
      <c r="D123" s="27" t="s">
        <v>32</v>
      </c>
      <c r="E123" s="31" t="s">
        <v>114</v>
      </c>
      <c r="F123" s="31" t="s">
        <v>32</v>
      </c>
      <c r="G123" s="27"/>
      <c r="H123" s="31" t="s">
        <v>114</v>
      </c>
      <c r="I123" s="27" t="s">
        <v>32</v>
      </c>
      <c r="J123" s="31" t="s">
        <v>113</v>
      </c>
      <c r="K123" s="27" t="s">
        <v>32</v>
      </c>
      <c r="L123" s="27"/>
      <c r="M123" s="31" t="s">
        <v>33</v>
      </c>
      <c r="N123" s="31" t="s">
        <v>114</v>
      </c>
      <c r="O123" s="31" t="s">
        <v>114</v>
      </c>
      <c r="P123" s="31" t="s">
        <v>33</v>
      </c>
      <c r="Q123" s="27" t="s">
        <v>32</v>
      </c>
      <c r="R123" s="27"/>
      <c r="S123" s="30">
        <f>C122+D122+E122+F122+G122+H122+I122+J122+K122+L122+M122+N122+O122+P122+Q122+C123+D123+E123+F123+G123+H123+I123+J123+K123+L123+M123+N123+O123+P123+Q123+R123</f>
        <v>111.5</v>
      </c>
      <c r="T123" s="22"/>
      <c r="U123" s="56"/>
      <c r="V123" s="87"/>
      <c r="W123" s="87"/>
    </row>
    <row r="124" spans="1:23" ht="14.25" customHeight="1" x14ac:dyDescent="0.3">
      <c r="A124" s="57">
        <f>A122+1</f>
        <v>51</v>
      </c>
      <c r="B124" s="59" t="s">
        <v>87</v>
      </c>
      <c r="C124" s="31" t="s">
        <v>32</v>
      </c>
      <c r="D124" s="29" t="s">
        <v>32</v>
      </c>
      <c r="E124" s="29" t="s">
        <v>32</v>
      </c>
      <c r="F124" s="29" t="s">
        <v>32</v>
      </c>
      <c r="G124" s="29" t="s">
        <v>32</v>
      </c>
      <c r="H124" s="27"/>
      <c r="I124" s="27"/>
      <c r="J124" s="29" t="s">
        <v>32</v>
      </c>
      <c r="K124" s="29" t="s">
        <v>32</v>
      </c>
      <c r="L124" s="29" t="s">
        <v>32</v>
      </c>
      <c r="M124" s="29" t="s">
        <v>32</v>
      </c>
      <c r="N124" s="29" t="s">
        <v>32</v>
      </c>
      <c r="O124" s="27"/>
      <c r="P124" s="27"/>
      <c r="Q124" s="31" t="s">
        <v>36</v>
      </c>
      <c r="R124" s="27"/>
      <c r="S124" s="22" t="s">
        <v>21</v>
      </c>
      <c r="T124" s="22" t="s">
        <v>31</v>
      </c>
      <c r="U124" s="55">
        <f>S125*104</f>
        <v>8996</v>
      </c>
      <c r="V124" s="87">
        <v>4</v>
      </c>
      <c r="W124" s="87">
        <f>U124+V124</f>
        <v>9000</v>
      </c>
    </row>
    <row r="125" spans="1:23" ht="14.25" customHeight="1" x14ac:dyDescent="0.3">
      <c r="A125" s="58"/>
      <c r="B125" s="60"/>
      <c r="C125" s="27" t="s">
        <v>32</v>
      </c>
      <c r="D125" s="27" t="s">
        <v>32</v>
      </c>
      <c r="E125" s="27" t="s">
        <v>32</v>
      </c>
      <c r="F125" s="31" t="s">
        <v>37</v>
      </c>
      <c r="G125" s="27"/>
      <c r="H125" s="27"/>
      <c r="I125" s="27" t="s">
        <v>32</v>
      </c>
      <c r="J125" s="27" t="s">
        <v>32</v>
      </c>
      <c r="K125" s="27" t="s">
        <v>32</v>
      </c>
      <c r="L125" s="27" t="s">
        <v>32</v>
      </c>
      <c r="M125" s="27" t="s">
        <v>32</v>
      </c>
      <c r="N125" s="27"/>
      <c r="O125" s="27"/>
      <c r="P125" s="27" t="s">
        <v>32</v>
      </c>
      <c r="Q125" s="27" t="s">
        <v>32</v>
      </c>
      <c r="R125" s="27"/>
      <c r="S125" s="30">
        <f>C124+D124+E124+F124+G124+H124+I124+J124+K124+L124+M124+N124+O124+P124+Q124+C125+D125+E125+F125+G125+H125+I125+J125+K125+L125+M125+N125+O125+P125+Q125+R125</f>
        <v>86.5</v>
      </c>
      <c r="T125" s="22"/>
      <c r="U125" s="56"/>
      <c r="V125" s="87"/>
      <c r="W125" s="87"/>
    </row>
    <row r="126" spans="1:23" ht="14.25" customHeight="1" x14ac:dyDescent="0.3">
      <c r="A126" s="57">
        <f>A124+1</f>
        <v>52</v>
      </c>
      <c r="B126" s="59" t="s">
        <v>88</v>
      </c>
      <c r="C126" s="31"/>
      <c r="D126" s="29"/>
      <c r="E126" s="29" t="s">
        <v>32</v>
      </c>
      <c r="F126" s="29" t="s">
        <v>32</v>
      </c>
      <c r="G126" s="33" t="s">
        <v>32</v>
      </c>
      <c r="H126" s="31" t="s">
        <v>32</v>
      </c>
      <c r="I126" s="31" t="s">
        <v>37</v>
      </c>
      <c r="J126" s="29"/>
      <c r="K126" s="29"/>
      <c r="L126" s="29" t="s">
        <v>32</v>
      </c>
      <c r="M126" s="29" t="s">
        <v>32</v>
      </c>
      <c r="N126" s="29" t="s">
        <v>32</v>
      </c>
      <c r="O126" s="31" t="s">
        <v>32</v>
      </c>
      <c r="P126" s="31" t="s">
        <v>36</v>
      </c>
      <c r="Q126" s="31"/>
      <c r="R126" s="27"/>
      <c r="S126" s="22" t="s">
        <v>21</v>
      </c>
      <c r="T126" s="22" t="s">
        <v>31</v>
      </c>
      <c r="U126" s="55">
        <f>S127*104</f>
        <v>8996</v>
      </c>
      <c r="V126" s="87">
        <v>4</v>
      </c>
      <c r="W126" s="87">
        <f>U126+V126</f>
        <v>9000</v>
      </c>
    </row>
    <row r="127" spans="1:23" ht="14.25" customHeight="1" x14ac:dyDescent="0.3">
      <c r="A127" s="58"/>
      <c r="B127" s="60"/>
      <c r="C127" s="27"/>
      <c r="D127" s="27" t="s">
        <v>32</v>
      </c>
      <c r="E127" s="27" t="s">
        <v>32</v>
      </c>
      <c r="F127" s="31" t="s">
        <v>32</v>
      </c>
      <c r="G127" s="27"/>
      <c r="H127" s="31" t="s">
        <v>32</v>
      </c>
      <c r="I127" s="27" t="s">
        <v>32</v>
      </c>
      <c r="J127" s="27" t="s">
        <v>32</v>
      </c>
      <c r="K127" s="27" t="s">
        <v>32</v>
      </c>
      <c r="L127" s="27"/>
      <c r="M127" s="27" t="s">
        <v>32</v>
      </c>
      <c r="N127" s="31" t="s">
        <v>32</v>
      </c>
      <c r="O127" s="31" t="s">
        <v>32</v>
      </c>
      <c r="P127" s="27" t="s">
        <v>32</v>
      </c>
      <c r="Q127" s="27" t="s">
        <v>32</v>
      </c>
      <c r="R127" s="27"/>
      <c r="S127" s="30">
        <f>C126+D126+E126+F126+G126+H126+I126+J126+K126+L126+M126+N126+O126+P126+Q126+C127+D127+E127+F127+G127+H127+I127+J127+K127+L127+M127+N127+O127+P127+Q127+R127</f>
        <v>86.5</v>
      </c>
      <c r="T127" s="22"/>
      <c r="U127" s="56"/>
      <c r="V127" s="87"/>
      <c r="W127" s="87"/>
    </row>
    <row r="128" spans="1:23" ht="14.25" customHeight="1" x14ac:dyDescent="0.3">
      <c r="A128" s="57">
        <f>A126+1</f>
        <v>53</v>
      </c>
      <c r="B128" s="59" t="s">
        <v>89</v>
      </c>
      <c r="C128" s="31"/>
      <c r="D128" s="33" t="s">
        <v>37</v>
      </c>
      <c r="E128" s="29" t="s">
        <v>32</v>
      </c>
      <c r="F128" s="29" t="s">
        <v>32</v>
      </c>
      <c r="G128" s="33" t="s">
        <v>32</v>
      </c>
      <c r="H128" s="31" t="s">
        <v>32</v>
      </c>
      <c r="I128" s="31"/>
      <c r="J128" s="29"/>
      <c r="K128" s="29"/>
      <c r="L128" s="29" t="s">
        <v>32</v>
      </c>
      <c r="M128" s="29" t="s">
        <v>32</v>
      </c>
      <c r="N128" s="29" t="s">
        <v>32</v>
      </c>
      <c r="O128" s="31" t="s">
        <v>32</v>
      </c>
      <c r="P128" s="31" t="s">
        <v>36</v>
      </c>
      <c r="Q128" s="31"/>
      <c r="R128" s="27"/>
      <c r="S128" s="22" t="s">
        <v>21</v>
      </c>
      <c r="T128" s="22" t="s">
        <v>31</v>
      </c>
      <c r="U128" s="55">
        <f>S129*104</f>
        <v>8996</v>
      </c>
      <c r="V128" s="87">
        <v>4</v>
      </c>
      <c r="W128" s="87">
        <f>U128+V128</f>
        <v>9000</v>
      </c>
    </row>
    <row r="129" spans="1:23" ht="14.25" customHeight="1" x14ac:dyDescent="0.3">
      <c r="A129" s="58"/>
      <c r="B129" s="60"/>
      <c r="C129" s="31" t="s">
        <v>32</v>
      </c>
      <c r="D129" s="27" t="s">
        <v>32</v>
      </c>
      <c r="E129" s="27" t="s">
        <v>32</v>
      </c>
      <c r="F129" s="31" t="s">
        <v>32</v>
      </c>
      <c r="G129" s="27"/>
      <c r="H129" s="31" t="s">
        <v>32</v>
      </c>
      <c r="I129" s="27" t="s">
        <v>32</v>
      </c>
      <c r="J129" s="27" t="s">
        <v>32</v>
      </c>
      <c r="K129" s="27" t="s">
        <v>32</v>
      </c>
      <c r="L129" s="27"/>
      <c r="M129" s="27" t="s">
        <v>32</v>
      </c>
      <c r="N129" s="31" t="s">
        <v>32</v>
      </c>
      <c r="O129" s="31" t="s">
        <v>32</v>
      </c>
      <c r="P129" s="27" t="s">
        <v>32</v>
      </c>
      <c r="Q129" s="27"/>
      <c r="R129" s="27"/>
      <c r="S129" s="30">
        <f>C128+D128+E128+F128+G128+H128+I128+J128+K128+L128+M128+N128+O128+P128+Q128+C129+D129+E129+F129+G129+H129+I129+J129+K129+L129+M129+N129+O129+P129+Q129+R129</f>
        <v>86.5</v>
      </c>
      <c r="T129" s="22"/>
      <c r="U129" s="56"/>
      <c r="V129" s="87"/>
      <c r="W129" s="87"/>
    </row>
    <row r="130" spans="1:23" ht="14.25" customHeight="1" x14ac:dyDescent="0.3">
      <c r="A130" s="57">
        <f>A128+1</f>
        <v>54</v>
      </c>
      <c r="B130" s="59" t="s">
        <v>90</v>
      </c>
      <c r="C130" s="31" t="s">
        <v>32</v>
      </c>
      <c r="D130" s="29" t="s">
        <v>32</v>
      </c>
      <c r="E130" s="33" t="s">
        <v>36</v>
      </c>
      <c r="F130" s="29" t="s">
        <v>32</v>
      </c>
      <c r="G130" s="29" t="s">
        <v>32</v>
      </c>
      <c r="H130" s="27"/>
      <c r="I130" s="27"/>
      <c r="J130" s="29" t="s">
        <v>32</v>
      </c>
      <c r="K130" s="29" t="s">
        <v>32</v>
      </c>
      <c r="L130" s="29" t="s">
        <v>32</v>
      </c>
      <c r="M130" s="29" t="s">
        <v>32</v>
      </c>
      <c r="N130" s="29" t="s">
        <v>32</v>
      </c>
      <c r="O130" s="27"/>
      <c r="P130" s="27"/>
      <c r="Q130" s="31" t="s">
        <v>32</v>
      </c>
      <c r="R130" s="27"/>
      <c r="S130" s="22" t="s">
        <v>21</v>
      </c>
      <c r="T130" s="22" t="s">
        <v>31</v>
      </c>
      <c r="U130" s="55">
        <f>S131*104</f>
        <v>8996</v>
      </c>
      <c r="V130" s="87">
        <v>4</v>
      </c>
      <c r="W130" s="87">
        <f>U130+V130</f>
        <v>9000</v>
      </c>
    </row>
    <row r="131" spans="1:23" ht="14.25" customHeight="1" x14ac:dyDescent="0.3">
      <c r="A131" s="58"/>
      <c r="B131" s="60"/>
      <c r="C131" s="31" t="s">
        <v>37</v>
      </c>
      <c r="D131" s="27" t="s">
        <v>32</v>
      </c>
      <c r="E131" s="27" t="s">
        <v>32</v>
      </c>
      <c r="F131" s="31" t="s">
        <v>32</v>
      </c>
      <c r="G131" s="27"/>
      <c r="H131" s="27"/>
      <c r="I131" s="27" t="s">
        <v>32</v>
      </c>
      <c r="J131" s="27" t="s">
        <v>32</v>
      </c>
      <c r="K131" s="27" t="s">
        <v>32</v>
      </c>
      <c r="L131" s="27" t="s">
        <v>32</v>
      </c>
      <c r="M131" s="27" t="s">
        <v>32</v>
      </c>
      <c r="N131" s="27"/>
      <c r="O131" s="27"/>
      <c r="P131" s="27" t="s">
        <v>32</v>
      </c>
      <c r="Q131" s="27" t="s">
        <v>32</v>
      </c>
      <c r="R131" s="27"/>
      <c r="S131" s="30">
        <f>C130+D130+E130+F130+G130+H130+I130+J130+K130+L130+M130+N130+O130+P130+Q130+C131+D131+E131+F131+G131+H131+I131+J131+K131+L131+M131+N131+O131+P131+Q131+R131</f>
        <v>86.5</v>
      </c>
      <c r="T131" s="22"/>
      <c r="U131" s="56"/>
      <c r="V131" s="87"/>
      <c r="W131" s="87"/>
    </row>
    <row r="132" spans="1:23" ht="14.25" customHeight="1" x14ac:dyDescent="0.3">
      <c r="A132" s="57">
        <f>A130+1</f>
        <v>55</v>
      </c>
      <c r="B132" s="59" t="s">
        <v>91</v>
      </c>
      <c r="C132" s="31"/>
      <c r="D132" s="29"/>
      <c r="E132" s="29" t="s">
        <v>32</v>
      </c>
      <c r="F132" s="29" t="s">
        <v>32</v>
      </c>
      <c r="G132" s="33" t="s">
        <v>32</v>
      </c>
      <c r="H132" s="31" t="s">
        <v>32</v>
      </c>
      <c r="I132" s="31" t="s">
        <v>37</v>
      </c>
      <c r="J132" s="29"/>
      <c r="K132" s="29"/>
      <c r="L132" s="29" t="s">
        <v>32</v>
      </c>
      <c r="M132" s="29" t="s">
        <v>32</v>
      </c>
      <c r="N132" s="29" t="s">
        <v>32</v>
      </c>
      <c r="O132" s="31" t="s">
        <v>32</v>
      </c>
      <c r="P132" s="31" t="s">
        <v>36</v>
      </c>
      <c r="Q132" s="31"/>
      <c r="R132" s="27"/>
      <c r="S132" s="22" t="s">
        <v>21</v>
      </c>
      <c r="T132" s="22" t="s">
        <v>31</v>
      </c>
      <c r="U132" s="55">
        <f>S133*104</f>
        <v>8996</v>
      </c>
      <c r="V132" s="87">
        <v>4</v>
      </c>
      <c r="W132" s="87">
        <f>U132+V132</f>
        <v>9000</v>
      </c>
    </row>
    <row r="133" spans="1:23" ht="14.25" customHeight="1" x14ac:dyDescent="0.3">
      <c r="A133" s="58"/>
      <c r="B133" s="60"/>
      <c r="C133" s="27"/>
      <c r="D133" s="27" t="s">
        <v>32</v>
      </c>
      <c r="E133" s="27" t="s">
        <v>32</v>
      </c>
      <c r="F133" s="31" t="s">
        <v>32</v>
      </c>
      <c r="G133" s="27"/>
      <c r="H133" s="31" t="s">
        <v>32</v>
      </c>
      <c r="I133" s="27" t="s">
        <v>32</v>
      </c>
      <c r="J133" s="27" t="s">
        <v>32</v>
      </c>
      <c r="K133" s="27" t="s">
        <v>32</v>
      </c>
      <c r="L133" s="27"/>
      <c r="M133" s="27" t="s">
        <v>32</v>
      </c>
      <c r="N133" s="31" t="s">
        <v>32</v>
      </c>
      <c r="O133" s="31" t="s">
        <v>32</v>
      </c>
      <c r="P133" s="27" t="s">
        <v>32</v>
      </c>
      <c r="Q133" s="27" t="s">
        <v>32</v>
      </c>
      <c r="R133" s="27"/>
      <c r="S133" s="30">
        <f>C132+D132+E132+F132+G132+H132+I132+J132+K132+L132+M132+N132+O132+P132+Q132+C133+D133+E133+F133+G133+H133+I133+J133+K133+L133+M133+N133+O133+P133+Q133+R133</f>
        <v>86.5</v>
      </c>
      <c r="T133" s="22"/>
      <c r="U133" s="56"/>
      <c r="V133" s="87"/>
      <c r="W133" s="87"/>
    </row>
    <row r="134" spans="1:23" ht="14.25" customHeight="1" x14ac:dyDescent="0.3">
      <c r="A134" s="57">
        <f>A132+1</f>
        <v>56</v>
      </c>
      <c r="B134" s="59" t="s">
        <v>92</v>
      </c>
      <c r="C134" s="31" t="s">
        <v>32</v>
      </c>
      <c r="D134" s="29" t="s">
        <v>32</v>
      </c>
      <c r="E134" s="29" t="s">
        <v>32</v>
      </c>
      <c r="F134" s="29" t="s">
        <v>32</v>
      </c>
      <c r="G134" s="29" t="s">
        <v>32</v>
      </c>
      <c r="H134" s="27"/>
      <c r="I134" s="27"/>
      <c r="J134" s="29" t="s">
        <v>32</v>
      </c>
      <c r="K134" s="29" t="s">
        <v>32</v>
      </c>
      <c r="L134" s="29" t="s">
        <v>32</v>
      </c>
      <c r="M134" s="29" t="s">
        <v>32</v>
      </c>
      <c r="N134" s="29" t="s">
        <v>32</v>
      </c>
      <c r="O134" s="27"/>
      <c r="P134" s="27"/>
      <c r="Q134" s="31" t="s">
        <v>36</v>
      </c>
      <c r="R134" s="27"/>
      <c r="S134" s="22" t="s">
        <v>21</v>
      </c>
      <c r="T134" s="22" t="s">
        <v>31</v>
      </c>
      <c r="U134" s="55">
        <f>S135*104</f>
        <v>8996</v>
      </c>
      <c r="V134" s="87">
        <v>4</v>
      </c>
      <c r="W134" s="87">
        <f>U134+V134</f>
        <v>9000</v>
      </c>
    </row>
    <row r="135" spans="1:23" ht="14.25" customHeight="1" x14ac:dyDescent="0.3">
      <c r="A135" s="58"/>
      <c r="B135" s="60"/>
      <c r="C135" s="27" t="s">
        <v>32</v>
      </c>
      <c r="D135" s="27" t="s">
        <v>32</v>
      </c>
      <c r="E135" s="27" t="s">
        <v>32</v>
      </c>
      <c r="F135" s="31" t="s">
        <v>37</v>
      </c>
      <c r="G135" s="27"/>
      <c r="H135" s="27"/>
      <c r="I135" s="27" t="s">
        <v>32</v>
      </c>
      <c r="J135" s="27" t="s">
        <v>32</v>
      </c>
      <c r="K135" s="27" t="s">
        <v>32</v>
      </c>
      <c r="L135" s="27" t="s">
        <v>32</v>
      </c>
      <c r="M135" s="27" t="s">
        <v>32</v>
      </c>
      <c r="N135" s="27"/>
      <c r="O135" s="27"/>
      <c r="P135" s="27" t="s">
        <v>32</v>
      </c>
      <c r="Q135" s="27" t="s">
        <v>32</v>
      </c>
      <c r="R135" s="27"/>
      <c r="S135" s="30">
        <f>C134+D134+E134+F134+G134+H134+I134+J134+K134+L134+M134+N134+O134+P134+Q134+C135+D135+E135+F135+G135+H135+I135+J135+K135+L135+M135+N135+O135+P135+Q135+R135</f>
        <v>86.5</v>
      </c>
      <c r="T135" s="22"/>
      <c r="U135" s="56"/>
      <c r="V135" s="87"/>
      <c r="W135" s="87"/>
    </row>
    <row r="136" spans="1:23" ht="14.25" customHeight="1" x14ac:dyDescent="0.3">
      <c r="A136" s="57">
        <f>A134+1</f>
        <v>57</v>
      </c>
      <c r="B136" s="59" t="s">
        <v>93</v>
      </c>
      <c r="C136" s="31"/>
      <c r="D136" s="29"/>
      <c r="E136" s="29" t="s">
        <v>32</v>
      </c>
      <c r="F136" s="29" t="s">
        <v>32</v>
      </c>
      <c r="G136" s="33" t="s">
        <v>32</v>
      </c>
      <c r="H136" s="31" t="s">
        <v>32</v>
      </c>
      <c r="I136" s="31" t="s">
        <v>37</v>
      </c>
      <c r="J136" s="29"/>
      <c r="K136" s="29"/>
      <c r="L136" s="29" t="s">
        <v>32</v>
      </c>
      <c r="M136" s="29" t="s">
        <v>32</v>
      </c>
      <c r="N136" s="29" t="s">
        <v>32</v>
      </c>
      <c r="O136" s="31" t="s">
        <v>32</v>
      </c>
      <c r="P136" s="31" t="s">
        <v>36</v>
      </c>
      <c r="Q136" s="31"/>
      <c r="R136" s="27"/>
      <c r="S136" s="22" t="s">
        <v>21</v>
      </c>
      <c r="T136" s="22" t="s">
        <v>31</v>
      </c>
      <c r="U136" s="55">
        <f>S137*104</f>
        <v>8996</v>
      </c>
      <c r="V136" s="87">
        <v>4</v>
      </c>
      <c r="W136" s="87">
        <f>U136+V136</f>
        <v>9000</v>
      </c>
    </row>
    <row r="137" spans="1:23" ht="14.25" customHeight="1" x14ac:dyDescent="0.3">
      <c r="A137" s="58"/>
      <c r="B137" s="60"/>
      <c r="C137" s="27"/>
      <c r="D137" s="27" t="s">
        <v>32</v>
      </c>
      <c r="E137" s="27" t="s">
        <v>32</v>
      </c>
      <c r="F137" s="31" t="s">
        <v>32</v>
      </c>
      <c r="G137" s="27"/>
      <c r="H137" s="31" t="s">
        <v>32</v>
      </c>
      <c r="I137" s="27" t="s">
        <v>32</v>
      </c>
      <c r="J137" s="27" t="s">
        <v>32</v>
      </c>
      <c r="K137" s="27" t="s">
        <v>32</v>
      </c>
      <c r="L137" s="27"/>
      <c r="M137" s="27" t="s">
        <v>32</v>
      </c>
      <c r="N137" s="31" t="s">
        <v>32</v>
      </c>
      <c r="O137" s="31" t="s">
        <v>32</v>
      </c>
      <c r="P137" s="27" t="s">
        <v>32</v>
      </c>
      <c r="Q137" s="27" t="s">
        <v>32</v>
      </c>
      <c r="R137" s="27"/>
      <c r="S137" s="30">
        <f>C136+D136+E136+F136+G136+H136+I136+J136+K136+L136+M136+N136+O136+P136+Q136+C137+D137+E137+F137+G137+H137+I137+J137+K137+L137+M137+N137+O137+P137+Q137+R137</f>
        <v>86.5</v>
      </c>
      <c r="T137" s="22"/>
      <c r="U137" s="56"/>
      <c r="V137" s="87"/>
      <c r="W137" s="87"/>
    </row>
    <row r="138" spans="1:23" ht="14.25" customHeight="1" x14ac:dyDescent="0.3">
      <c r="A138" s="57">
        <f>A136+1</f>
        <v>58</v>
      </c>
      <c r="B138" s="59" t="s">
        <v>94</v>
      </c>
      <c r="C138" s="31"/>
      <c r="D138" s="33" t="s">
        <v>37</v>
      </c>
      <c r="E138" s="29" t="s">
        <v>32</v>
      </c>
      <c r="F138" s="29" t="s">
        <v>32</v>
      </c>
      <c r="G138" s="33" t="s">
        <v>32</v>
      </c>
      <c r="H138" s="31" t="s">
        <v>32</v>
      </c>
      <c r="I138" s="31"/>
      <c r="J138" s="29"/>
      <c r="K138" s="29"/>
      <c r="L138" s="29" t="s">
        <v>32</v>
      </c>
      <c r="M138" s="29" t="s">
        <v>32</v>
      </c>
      <c r="N138" s="29" t="s">
        <v>32</v>
      </c>
      <c r="O138" s="31" t="s">
        <v>32</v>
      </c>
      <c r="P138" s="31" t="s">
        <v>36</v>
      </c>
      <c r="Q138" s="31"/>
      <c r="R138" s="27"/>
      <c r="S138" s="22" t="s">
        <v>21</v>
      </c>
      <c r="T138" s="22" t="s">
        <v>31</v>
      </c>
      <c r="U138" s="55">
        <f>S139*104</f>
        <v>8996</v>
      </c>
      <c r="V138" s="87">
        <v>4</v>
      </c>
      <c r="W138" s="87">
        <f>U138+V138</f>
        <v>9000</v>
      </c>
    </row>
    <row r="139" spans="1:23" ht="14.25" customHeight="1" x14ac:dyDescent="0.3">
      <c r="A139" s="58"/>
      <c r="B139" s="60"/>
      <c r="C139" s="31" t="s">
        <v>32</v>
      </c>
      <c r="D139" s="27" t="s">
        <v>32</v>
      </c>
      <c r="E139" s="27" t="s">
        <v>32</v>
      </c>
      <c r="F139" s="31" t="s">
        <v>32</v>
      </c>
      <c r="G139" s="27"/>
      <c r="H139" s="31" t="s">
        <v>32</v>
      </c>
      <c r="I139" s="27" t="s">
        <v>32</v>
      </c>
      <c r="J139" s="27" t="s">
        <v>32</v>
      </c>
      <c r="K139" s="27" t="s">
        <v>32</v>
      </c>
      <c r="L139" s="27"/>
      <c r="M139" s="27" t="s">
        <v>32</v>
      </c>
      <c r="N139" s="31" t="s">
        <v>32</v>
      </c>
      <c r="O139" s="31" t="s">
        <v>32</v>
      </c>
      <c r="P139" s="27" t="s">
        <v>32</v>
      </c>
      <c r="Q139" s="27"/>
      <c r="R139" s="27"/>
      <c r="S139" s="30">
        <f>C138+D138+E138+F138+G138+H138+I138+J138+K138+L138+M138+N138+O138+P138+Q138+C139+D139+E139+F139+G139+H139+I139+J139+K139+L139+M139+N139+O139+P139+Q139+R139</f>
        <v>86.5</v>
      </c>
      <c r="T139" s="22"/>
      <c r="U139" s="56"/>
      <c r="V139" s="87"/>
      <c r="W139" s="87"/>
    </row>
    <row r="140" spans="1:23" ht="14.25" customHeight="1" x14ac:dyDescent="0.3">
      <c r="A140" s="57">
        <f>A138+1</f>
        <v>59</v>
      </c>
      <c r="B140" s="59" t="s">
        <v>95</v>
      </c>
      <c r="C140" s="31" t="s">
        <v>32</v>
      </c>
      <c r="D140" s="29" t="s">
        <v>32</v>
      </c>
      <c r="E140" s="33" t="s">
        <v>36</v>
      </c>
      <c r="F140" s="29" t="s">
        <v>32</v>
      </c>
      <c r="G140" s="29" t="s">
        <v>32</v>
      </c>
      <c r="H140" s="27"/>
      <c r="I140" s="27"/>
      <c r="J140" s="29" t="s">
        <v>32</v>
      </c>
      <c r="K140" s="29" t="s">
        <v>32</v>
      </c>
      <c r="L140" s="29" t="s">
        <v>32</v>
      </c>
      <c r="M140" s="29" t="s">
        <v>32</v>
      </c>
      <c r="N140" s="29" t="s">
        <v>32</v>
      </c>
      <c r="O140" s="27"/>
      <c r="P140" s="27"/>
      <c r="Q140" s="31" t="s">
        <v>32</v>
      </c>
      <c r="R140" s="27"/>
      <c r="S140" s="22" t="s">
        <v>21</v>
      </c>
      <c r="T140" s="22" t="s">
        <v>31</v>
      </c>
      <c r="U140" s="55">
        <f>S141*104</f>
        <v>8996</v>
      </c>
      <c r="V140" s="87">
        <v>4</v>
      </c>
      <c r="W140" s="87">
        <f>U140+V140</f>
        <v>9000</v>
      </c>
    </row>
    <row r="141" spans="1:23" ht="14.25" customHeight="1" x14ac:dyDescent="0.3">
      <c r="A141" s="58"/>
      <c r="B141" s="60"/>
      <c r="C141" s="31" t="s">
        <v>37</v>
      </c>
      <c r="D141" s="27" t="s">
        <v>32</v>
      </c>
      <c r="E141" s="27" t="s">
        <v>32</v>
      </c>
      <c r="F141" s="31" t="s">
        <v>32</v>
      </c>
      <c r="G141" s="27"/>
      <c r="H141" s="27"/>
      <c r="I141" s="27" t="s">
        <v>32</v>
      </c>
      <c r="J141" s="27" t="s">
        <v>32</v>
      </c>
      <c r="K141" s="27" t="s">
        <v>32</v>
      </c>
      <c r="L141" s="27" t="s">
        <v>32</v>
      </c>
      <c r="M141" s="27" t="s">
        <v>32</v>
      </c>
      <c r="N141" s="27"/>
      <c r="O141" s="27"/>
      <c r="P141" s="27" t="s">
        <v>32</v>
      </c>
      <c r="Q141" s="27" t="s">
        <v>32</v>
      </c>
      <c r="R141" s="27"/>
      <c r="S141" s="30">
        <f>C140+D140+E140+F140+G140+H140+I140+J140+K140+L140+M140+N140+O140+P140+Q140+C141+D141+E141+F141+G141+H141+I141+J141+K141+L141+M141+N141+O141+P141+Q141+R141</f>
        <v>86.5</v>
      </c>
      <c r="T141" s="22"/>
      <c r="U141" s="56"/>
      <c r="V141" s="87"/>
      <c r="W141" s="87"/>
    </row>
    <row r="142" spans="1:23" ht="14.25" customHeight="1" x14ac:dyDescent="0.3">
      <c r="A142" s="57">
        <f>A140+1</f>
        <v>60</v>
      </c>
      <c r="B142" s="61" t="s">
        <v>112</v>
      </c>
      <c r="C142" s="31" t="s">
        <v>114</v>
      </c>
      <c r="D142" s="29"/>
      <c r="E142" s="33" t="s">
        <v>114</v>
      </c>
      <c r="F142" s="33" t="s">
        <v>114</v>
      </c>
      <c r="G142" s="33" t="s">
        <v>114</v>
      </c>
      <c r="H142" s="31" t="s">
        <v>114</v>
      </c>
      <c r="I142" s="31" t="s">
        <v>114</v>
      </c>
      <c r="J142" s="29"/>
      <c r="K142" s="29"/>
      <c r="L142" s="33" t="s">
        <v>114</v>
      </c>
      <c r="M142" s="33" t="s">
        <v>114</v>
      </c>
      <c r="N142" s="33" t="s">
        <v>114</v>
      </c>
      <c r="O142" s="31" t="s">
        <v>114</v>
      </c>
      <c r="P142" s="31" t="s">
        <v>114</v>
      </c>
      <c r="Q142" s="31"/>
      <c r="R142" s="27"/>
      <c r="S142" s="22" t="s">
        <v>21</v>
      </c>
      <c r="T142" s="22" t="s">
        <v>31</v>
      </c>
      <c r="U142" s="55">
        <f>S143*104</f>
        <v>16744</v>
      </c>
      <c r="V142" s="87">
        <v>58</v>
      </c>
      <c r="W142" s="87">
        <f>U142+V142</f>
        <v>16802</v>
      </c>
    </row>
    <row r="143" spans="1:23" ht="14.25" customHeight="1" x14ac:dyDescent="0.3">
      <c r="A143" s="58"/>
      <c r="B143" s="60"/>
      <c r="C143" s="27"/>
      <c r="D143" s="31" t="s">
        <v>114</v>
      </c>
      <c r="E143" s="31" t="s">
        <v>114</v>
      </c>
      <c r="F143" s="31" t="s">
        <v>114</v>
      </c>
      <c r="G143" s="27"/>
      <c r="H143" s="31" t="s">
        <v>114</v>
      </c>
      <c r="I143" s="31" t="s">
        <v>114</v>
      </c>
      <c r="J143" s="31" t="s">
        <v>114</v>
      </c>
      <c r="K143" s="31" t="s">
        <v>114</v>
      </c>
      <c r="L143" s="27"/>
      <c r="M143" s="31" t="s">
        <v>114</v>
      </c>
      <c r="N143" s="31" t="s">
        <v>114</v>
      </c>
      <c r="O143" s="31" t="s">
        <v>114</v>
      </c>
      <c r="P143" s="31" t="s">
        <v>114</v>
      </c>
      <c r="Q143" s="31" t="s">
        <v>114</v>
      </c>
      <c r="R143" s="27"/>
      <c r="S143" s="30">
        <f>C142+D142+E142+F142+G142+H142+I142+J142+K142+L142+M142+N142+O142+P142+Q142+C143+D143+E143+F143+G143+H143+I143+J143+K143+L143+M143+N143+O143+P143+Q143+R143</f>
        <v>161</v>
      </c>
      <c r="T143" s="22"/>
      <c r="U143" s="56"/>
      <c r="V143" s="87"/>
      <c r="W143" s="87"/>
    </row>
    <row r="144" spans="1:23" s="14" customFormat="1" ht="14.25" customHeight="1" x14ac:dyDescent="0.25">
      <c r="A144" s="57">
        <f>A142+1</f>
        <v>61</v>
      </c>
      <c r="B144" s="59" t="s">
        <v>96</v>
      </c>
      <c r="C144" s="31" t="s">
        <v>32</v>
      </c>
      <c r="D144" s="29" t="s">
        <v>32</v>
      </c>
      <c r="E144" s="29" t="s">
        <v>32</v>
      </c>
      <c r="F144" s="29" t="s">
        <v>32</v>
      </c>
      <c r="G144" s="29" t="s">
        <v>32</v>
      </c>
      <c r="H144" s="27"/>
      <c r="I144" s="27"/>
      <c r="J144" s="33" t="s">
        <v>32</v>
      </c>
      <c r="K144" s="33" t="s">
        <v>32</v>
      </c>
      <c r="L144" s="33" t="s">
        <v>32</v>
      </c>
      <c r="M144" s="33" t="s">
        <v>32</v>
      </c>
      <c r="N144" s="33" t="s">
        <v>32</v>
      </c>
      <c r="O144" s="27"/>
      <c r="P144" s="27"/>
      <c r="Q144" s="31" t="s">
        <v>36</v>
      </c>
      <c r="R144" s="27"/>
      <c r="S144" s="22" t="s">
        <v>21</v>
      </c>
      <c r="T144" s="22" t="s">
        <v>31</v>
      </c>
      <c r="U144" s="55">
        <f>S145*104</f>
        <v>8996</v>
      </c>
      <c r="V144" s="87">
        <v>4</v>
      </c>
      <c r="W144" s="87">
        <f>U144+V144</f>
        <v>9000</v>
      </c>
    </row>
    <row r="145" spans="1:23" s="14" customFormat="1" ht="14.25" customHeight="1" x14ac:dyDescent="0.25">
      <c r="A145" s="58"/>
      <c r="B145" s="60"/>
      <c r="C145" s="27" t="s">
        <v>32</v>
      </c>
      <c r="D145" s="27" t="s">
        <v>32</v>
      </c>
      <c r="E145" s="27" t="s">
        <v>32</v>
      </c>
      <c r="F145" s="31" t="s">
        <v>37</v>
      </c>
      <c r="G145" s="27"/>
      <c r="H145" s="27"/>
      <c r="I145" s="27" t="s">
        <v>32</v>
      </c>
      <c r="J145" s="27" t="s">
        <v>32</v>
      </c>
      <c r="K145" s="27" t="s">
        <v>32</v>
      </c>
      <c r="L145" s="27" t="s">
        <v>32</v>
      </c>
      <c r="M145" s="27" t="s">
        <v>32</v>
      </c>
      <c r="N145" s="27"/>
      <c r="O145" s="27"/>
      <c r="P145" s="27" t="s">
        <v>32</v>
      </c>
      <c r="Q145" s="27" t="s">
        <v>32</v>
      </c>
      <c r="R145" s="27"/>
      <c r="S145" s="30">
        <f>C144+D144+E144+F144+G144+H144+I144+J144+K144+L144+M144+N144+O144+P144+Q144+C145+D145+E145+F145+G145+H145+I145+J145+K145+L145+M145+N145+O145+P145+Q145+R145</f>
        <v>86.5</v>
      </c>
      <c r="T145" s="22"/>
      <c r="U145" s="56"/>
      <c r="V145" s="87"/>
      <c r="W145" s="87"/>
    </row>
    <row r="146" spans="1:23" ht="14.25" customHeight="1" x14ac:dyDescent="0.3">
      <c r="A146" s="57">
        <f>A144+1</f>
        <v>62</v>
      </c>
      <c r="B146" s="59" t="s">
        <v>97</v>
      </c>
      <c r="C146" s="31"/>
      <c r="D146" s="29"/>
      <c r="E146" s="29" t="s">
        <v>32</v>
      </c>
      <c r="F146" s="29" t="s">
        <v>32</v>
      </c>
      <c r="G146" s="33" t="s">
        <v>32</v>
      </c>
      <c r="H146" s="31" t="s">
        <v>32</v>
      </c>
      <c r="I146" s="31" t="s">
        <v>37</v>
      </c>
      <c r="J146" s="29"/>
      <c r="K146" s="29"/>
      <c r="L146" s="29" t="s">
        <v>32</v>
      </c>
      <c r="M146" s="29" t="s">
        <v>32</v>
      </c>
      <c r="N146" s="29" t="s">
        <v>32</v>
      </c>
      <c r="O146" s="31" t="s">
        <v>32</v>
      </c>
      <c r="P146" s="31" t="s">
        <v>36</v>
      </c>
      <c r="Q146" s="31"/>
      <c r="R146" s="27"/>
      <c r="S146" s="22" t="s">
        <v>21</v>
      </c>
      <c r="T146" s="22" t="s">
        <v>31</v>
      </c>
      <c r="U146" s="55">
        <f>S147*104</f>
        <v>8996</v>
      </c>
      <c r="V146" s="87">
        <v>4</v>
      </c>
      <c r="W146" s="87">
        <f>U146+V146</f>
        <v>9000</v>
      </c>
    </row>
    <row r="147" spans="1:23" ht="14.25" customHeight="1" x14ac:dyDescent="0.3">
      <c r="A147" s="58"/>
      <c r="B147" s="60"/>
      <c r="C147" s="27"/>
      <c r="D147" s="27" t="s">
        <v>32</v>
      </c>
      <c r="E147" s="27" t="s">
        <v>32</v>
      </c>
      <c r="F147" s="31" t="s">
        <v>32</v>
      </c>
      <c r="G147" s="27"/>
      <c r="H147" s="31" t="s">
        <v>32</v>
      </c>
      <c r="I147" s="27" t="s">
        <v>32</v>
      </c>
      <c r="J147" s="27" t="s">
        <v>32</v>
      </c>
      <c r="K147" s="27" t="s">
        <v>32</v>
      </c>
      <c r="L147" s="27"/>
      <c r="M147" s="27" t="s">
        <v>32</v>
      </c>
      <c r="N147" s="31" t="s">
        <v>32</v>
      </c>
      <c r="O147" s="31" t="s">
        <v>32</v>
      </c>
      <c r="P147" s="27" t="s">
        <v>32</v>
      </c>
      <c r="Q147" s="27" t="s">
        <v>32</v>
      </c>
      <c r="R147" s="27"/>
      <c r="S147" s="30">
        <f>C146+D146+E146+F146+G146+H146+I146+J146+K146+L146+M146+N146+O146+P146+Q146+C147+D147+E147+F147+G147+H147+I147+J147+K147+L147+M147+N147+O147+P147+Q147+R147</f>
        <v>86.5</v>
      </c>
      <c r="T147" s="22"/>
      <c r="U147" s="56"/>
      <c r="V147" s="87"/>
      <c r="W147" s="87"/>
    </row>
    <row r="148" spans="1:23" ht="14.25" customHeight="1" x14ac:dyDescent="0.3">
      <c r="A148" s="57">
        <f>A146+1</f>
        <v>63</v>
      </c>
      <c r="B148" s="59" t="s">
        <v>98</v>
      </c>
      <c r="C148" s="31"/>
      <c r="D148" s="33" t="s">
        <v>37</v>
      </c>
      <c r="E148" s="29" t="s">
        <v>32</v>
      </c>
      <c r="F148" s="29" t="s">
        <v>32</v>
      </c>
      <c r="G148" s="33" t="s">
        <v>32</v>
      </c>
      <c r="H148" s="31" t="s">
        <v>32</v>
      </c>
      <c r="I148" s="31"/>
      <c r="J148" s="29"/>
      <c r="K148" s="29"/>
      <c r="L148" s="29" t="s">
        <v>32</v>
      </c>
      <c r="M148" s="29" t="s">
        <v>32</v>
      </c>
      <c r="N148" s="29" t="s">
        <v>32</v>
      </c>
      <c r="O148" s="31" t="s">
        <v>32</v>
      </c>
      <c r="P148" s="31" t="s">
        <v>36</v>
      </c>
      <c r="Q148" s="31"/>
      <c r="R148" s="27"/>
      <c r="S148" s="22" t="s">
        <v>21</v>
      </c>
      <c r="T148" s="22" t="s">
        <v>31</v>
      </c>
      <c r="U148" s="55">
        <f>S149*104</f>
        <v>8996</v>
      </c>
      <c r="V148" s="87">
        <v>4</v>
      </c>
      <c r="W148" s="87">
        <f>U148+V148</f>
        <v>9000</v>
      </c>
    </row>
    <row r="149" spans="1:23" ht="14.25" customHeight="1" x14ac:dyDescent="0.3">
      <c r="A149" s="58"/>
      <c r="B149" s="60"/>
      <c r="C149" s="31" t="s">
        <v>32</v>
      </c>
      <c r="D149" s="27" t="s">
        <v>32</v>
      </c>
      <c r="E149" s="27" t="s">
        <v>32</v>
      </c>
      <c r="F149" s="31" t="s">
        <v>32</v>
      </c>
      <c r="G149" s="27"/>
      <c r="H149" s="31" t="s">
        <v>32</v>
      </c>
      <c r="I149" s="27" t="s">
        <v>32</v>
      </c>
      <c r="J149" s="27" t="s">
        <v>32</v>
      </c>
      <c r="K149" s="27" t="s">
        <v>32</v>
      </c>
      <c r="L149" s="27"/>
      <c r="M149" s="27" t="s">
        <v>32</v>
      </c>
      <c r="N149" s="31" t="s">
        <v>32</v>
      </c>
      <c r="O149" s="31" t="s">
        <v>32</v>
      </c>
      <c r="P149" s="27" t="s">
        <v>32</v>
      </c>
      <c r="Q149" s="27"/>
      <c r="R149" s="27"/>
      <c r="S149" s="30">
        <f>C148+D148+E148+F148+G148+H148+I148+J148+K148+L148+M148+N148+O148+P148+Q148+C149+D149+E149+F149+G149+H149+I149+J149+K149+L149+M149+N149+O149+P149+Q149+R149</f>
        <v>86.5</v>
      </c>
      <c r="T149" s="22"/>
      <c r="U149" s="56"/>
      <c r="V149" s="87"/>
      <c r="W149" s="87"/>
    </row>
    <row r="150" spans="1:23" ht="14.25" customHeight="1" x14ac:dyDescent="0.3">
      <c r="A150" s="57">
        <f>A148+1</f>
        <v>64</v>
      </c>
      <c r="B150" s="59" t="s">
        <v>99</v>
      </c>
      <c r="C150" s="31" t="s">
        <v>32</v>
      </c>
      <c r="D150" s="29" t="s">
        <v>32</v>
      </c>
      <c r="E150" s="33" t="s">
        <v>36</v>
      </c>
      <c r="F150" s="29" t="s">
        <v>32</v>
      </c>
      <c r="G150" s="29" t="s">
        <v>32</v>
      </c>
      <c r="H150" s="27"/>
      <c r="I150" s="27"/>
      <c r="J150" s="29" t="s">
        <v>32</v>
      </c>
      <c r="K150" s="29" t="s">
        <v>32</v>
      </c>
      <c r="L150" s="29" t="s">
        <v>32</v>
      </c>
      <c r="M150" s="29" t="s">
        <v>32</v>
      </c>
      <c r="N150" s="29" t="s">
        <v>32</v>
      </c>
      <c r="O150" s="27"/>
      <c r="P150" s="27"/>
      <c r="Q150" s="31" t="s">
        <v>32</v>
      </c>
      <c r="R150" s="27"/>
      <c r="S150" s="22" t="s">
        <v>21</v>
      </c>
      <c r="T150" s="22" t="s">
        <v>31</v>
      </c>
      <c r="U150" s="55">
        <f>S151*104</f>
        <v>8996</v>
      </c>
      <c r="V150" s="87">
        <v>4</v>
      </c>
      <c r="W150" s="87">
        <f>U150+V150</f>
        <v>9000</v>
      </c>
    </row>
    <row r="151" spans="1:23" ht="14.25" customHeight="1" x14ac:dyDescent="0.3">
      <c r="A151" s="58"/>
      <c r="B151" s="60"/>
      <c r="C151" s="31" t="s">
        <v>37</v>
      </c>
      <c r="D151" s="27" t="s">
        <v>32</v>
      </c>
      <c r="E151" s="27" t="s">
        <v>32</v>
      </c>
      <c r="F151" s="31" t="s">
        <v>32</v>
      </c>
      <c r="G151" s="27"/>
      <c r="H151" s="27"/>
      <c r="I151" s="27" t="s">
        <v>32</v>
      </c>
      <c r="J151" s="27" t="s">
        <v>32</v>
      </c>
      <c r="K151" s="27" t="s">
        <v>32</v>
      </c>
      <c r="L151" s="27" t="s">
        <v>32</v>
      </c>
      <c r="M151" s="27" t="s">
        <v>32</v>
      </c>
      <c r="N151" s="27"/>
      <c r="O151" s="27"/>
      <c r="P151" s="27" t="s">
        <v>32</v>
      </c>
      <c r="Q151" s="27" t="s">
        <v>32</v>
      </c>
      <c r="R151" s="27"/>
      <c r="S151" s="30">
        <f>C150+D150+E150+F150+G150+H150+I150+J150+K150+L150+M150+N150+O150+P150+Q150+C151+D151+E151+F151+G151+H151+I151+J151+K151+L151+M151+N151+O151+P151+Q151+R151</f>
        <v>86.5</v>
      </c>
      <c r="T151" s="22"/>
      <c r="U151" s="56"/>
      <c r="V151" s="87"/>
      <c r="W151" s="87"/>
    </row>
    <row r="152" spans="1:23" ht="14.25" customHeight="1" x14ac:dyDescent="0.3">
      <c r="A152" s="57">
        <f>A150+1</f>
        <v>65</v>
      </c>
      <c r="B152" s="59" t="s">
        <v>100</v>
      </c>
      <c r="C152" s="31"/>
      <c r="D152" s="29"/>
      <c r="E152" s="29" t="s">
        <v>32</v>
      </c>
      <c r="F152" s="29" t="s">
        <v>32</v>
      </c>
      <c r="G152" s="33" t="s">
        <v>32</v>
      </c>
      <c r="H152" s="31" t="s">
        <v>32</v>
      </c>
      <c r="I152" s="31" t="s">
        <v>37</v>
      </c>
      <c r="J152" s="29"/>
      <c r="K152" s="29"/>
      <c r="L152" s="29" t="s">
        <v>32</v>
      </c>
      <c r="M152" s="29" t="s">
        <v>32</v>
      </c>
      <c r="N152" s="29" t="s">
        <v>32</v>
      </c>
      <c r="O152" s="31" t="s">
        <v>32</v>
      </c>
      <c r="P152" s="31" t="s">
        <v>36</v>
      </c>
      <c r="Q152" s="31"/>
      <c r="R152" s="27"/>
      <c r="S152" s="22" t="s">
        <v>21</v>
      </c>
      <c r="T152" s="22" t="s">
        <v>31</v>
      </c>
      <c r="U152" s="55">
        <f>S153*104</f>
        <v>8996</v>
      </c>
      <c r="V152" s="87">
        <v>4</v>
      </c>
      <c r="W152" s="87">
        <f>U152+V152</f>
        <v>9000</v>
      </c>
    </row>
    <row r="153" spans="1:23" ht="14.25" customHeight="1" x14ac:dyDescent="0.3">
      <c r="A153" s="58"/>
      <c r="B153" s="60"/>
      <c r="C153" s="27"/>
      <c r="D153" s="27" t="s">
        <v>32</v>
      </c>
      <c r="E153" s="27" t="s">
        <v>32</v>
      </c>
      <c r="F153" s="31" t="s">
        <v>32</v>
      </c>
      <c r="G153" s="27"/>
      <c r="H153" s="31" t="s">
        <v>32</v>
      </c>
      <c r="I153" s="27" t="s">
        <v>32</v>
      </c>
      <c r="J153" s="27" t="s">
        <v>32</v>
      </c>
      <c r="K153" s="27" t="s">
        <v>32</v>
      </c>
      <c r="L153" s="27"/>
      <c r="M153" s="27" t="s">
        <v>32</v>
      </c>
      <c r="N153" s="31" t="s">
        <v>32</v>
      </c>
      <c r="O153" s="31" t="s">
        <v>32</v>
      </c>
      <c r="P153" s="27" t="s">
        <v>32</v>
      </c>
      <c r="Q153" s="27" t="s">
        <v>32</v>
      </c>
      <c r="R153" s="27"/>
      <c r="S153" s="30">
        <f>C152+D152+E152+F152+G152+H152+I152+J152+K152+L152+M152+N152+O152+P152+Q152+C153+D153+E153+F153+G153+H153+I153+J153+K153+L153+M153+N153+O153+P153+Q153+R153</f>
        <v>86.5</v>
      </c>
      <c r="T153" s="22"/>
      <c r="U153" s="56"/>
      <c r="V153" s="87"/>
      <c r="W153" s="87"/>
    </row>
    <row r="154" spans="1:23" ht="14.25" customHeight="1" x14ac:dyDescent="0.3">
      <c r="A154" s="57">
        <f>A152+1</f>
        <v>66</v>
      </c>
      <c r="B154" s="59" t="s">
        <v>101</v>
      </c>
      <c r="C154" s="31" t="s">
        <v>32</v>
      </c>
      <c r="D154" s="29" t="s">
        <v>32</v>
      </c>
      <c r="E154" s="29" t="s">
        <v>32</v>
      </c>
      <c r="F154" s="29" t="s">
        <v>32</v>
      </c>
      <c r="G154" s="29" t="s">
        <v>32</v>
      </c>
      <c r="H154" s="27"/>
      <c r="I154" s="27"/>
      <c r="J154" s="29" t="s">
        <v>32</v>
      </c>
      <c r="K154" s="29" t="s">
        <v>32</v>
      </c>
      <c r="L154" s="29" t="s">
        <v>32</v>
      </c>
      <c r="M154" s="29" t="s">
        <v>32</v>
      </c>
      <c r="N154" s="29" t="s">
        <v>32</v>
      </c>
      <c r="O154" s="27"/>
      <c r="P154" s="27"/>
      <c r="Q154" s="31" t="s">
        <v>36</v>
      </c>
      <c r="R154" s="27"/>
      <c r="S154" s="22" t="s">
        <v>21</v>
      </c>
      <c r="T154" s="22" t="s">
        <v>31</v>
      </c>
      <c r="U154" s="55">
        <f>S155*104</f>
        <v>8996</v>
      </c>
      <c r="V154" s="87">
        <v>4</v>
      </c>
      <c r="W154" s="87">
        <f>U154+V154</f>
        <v>9000</v>
      </c>
    </row>
    <row r="155" spans="1:23" ht="14.25" customHeight="1" x14ac:dyDescent="0.3">
      <c r="A155" s="58"/>
      <c r="B155" s="60"/>
      <c r="C155" s="27" t="s">
        <v>32</v>
      </c>
      <c r="D155" s="27" t="s">
        <v>32</v>
      </c>
      <c r="E155" s="27" t="s">
        <v>32</v>
      </c>
      <c r="F155" s="31" t="s">
        <v>37</v>
      </c>
      <c r="G155" s="27"/>
      <c r="H155" s="27"/>
      <c r="I155" s="27" t="s">
        <v>32</v>
      </c>
      <c r="J155" s="27" t="s">
        <v>32</v>
      </c>
      <c r="K155" s="27" t="s">
        <v>32</v>
      </c>
      <c r="L155" s="27" t="s">
        <v>32</v>
      </c>
      <c r="M155" s="27" t="s">
        <v>32</v>
      </c>
      <c r="N155" s="27"/>
      <c r="O155" s="27"/>
      <c r="P155" s="27" t="s">
        <v>32</v>
      </c>
      <c r="Q155" s="27" t="s">
        <v>32</v>
      </c>
      <c r="R155" s="27"/>
      <c r="S155" s="30">
        <f>C154+D154+E154+F154+G154+H154+I154+J154+K154+L154+M154+N154+O154+P154+Q154+C155+D155+E155+F155+G155+H155+I155+J155+K155+L155+M155+N155+O155+P155+Q155+R155</f>
        <v>86.5</v>
      </c>
      <c r="T155" s="22"/>
      <c r="U155" s="56"/>
      <c r="V155" s="87"/>
      <c r="W155" s="87"/>
    </row>
    <row r="156" spans="1:23" ht="14.25" customHeight="1" x14ac:dyDescent="0.3">
      <c r="A156" s="57">
        <f>A154+1</f>
        <v>67</v>
      </c>
      <c r="B156" s="59" t="s">
        <v>102</v>
      </c>
      <c r="C156" s="31"/>
      <c r="D156" s="29"/>
      <c r="E156" s="29" t="s">
        <v>32</v>
      </c>
      <c r="F156" s="29" t="s">
        <v>32</v>
      </c>
      <c r="G156" s="33" t="s">
        <v>32</v>
      </c>
      <c r="H156" s="31" t="s">
        <v>32</v>
      </c>
      <c r="I156" s="31" t="s">
        <v>37</v>
      </c>
      <c r="J156" s="29"/>
      <c r="K156" s="29"/>
      <c r="L156" s="29" t="s">
        <v>32</v>
      </c>
      <c r="M156" s="29" t="s">
        <v>32</v>
      </c>
      <c r="N156" s="29" t="s">
        <v>32</v>
      </c>
      <c r="O156" s="31" t="s">
        <v>32</v>
      </c>
      <c r="P156" s="31" t="s">
        <v>36</v>
      </c>
      <c r="Q156" s="31"/>
      <c r="R156" s="27"/>
      <c r="S156" s="22" t="s">
        <v>21</v>
      </c>
      <c r="T156" s="22" t="s">
        <v>31</v>
      </c>
      <c r="U156" s="55">
        <f>S157*104</f>
        <v>8996</v>
      </c>
      <c r="V156" s="87">
        <v>4</v>
      </c>
      <c r="W156" s="87">
        <f>U156+V156</f>
        <v>9000</v>
      </c>
    </row>
    <row r="157" spans="1:23" ht="14.25" customHeight="1" x14ac:dyDescent="0.3">
      <c r="A157" s="58"/>
      <c r="B157" s="60"/>
      <c r="C157" s="27"/>
      <c r="D157" s="27" t="s">
        <v>32</v>
      </c>
      <c r="E157" s="27" t="s">
        <v>32</v>
      </c>
      <c r="F157" s="31" t="s">
        <v>32</v>
      </c>
      <c r="G157" s="27"/>
      <c r="H157" s="31" t="s">
        <v>32</v>
      </c>
      <c r="I157" s="27" t="s">
        <v>32</v>
      </c>
      <c r="J157" s="27" t="s">
        <v>32</v>
      </c>
      <c r="K157" s="27" t="s">
        <v>32</v>
      </c>
      <c r="L157" s="27"/>
      <c r="M157" s="27" t="s">
        <v>32</v>
      </c>
      <c r="N157" s="31" t="s">
        <v>32</v>
      </c>
      <c r="O157" s="31" t="s">
        <v>32</v>
      </c>
      <c r="P157" s="27" t="s">
        <v>32</v>
      </c>
      <c r="Q157" s="27" t="s">
        <v>32</v>
      </c>
      <c r="R157" s="27"/>
      <c r="S157" s="30">
        <f>C156+D156+E156+F156+G156+H156+I156+J156+K156+L156+M156+N156+O156+P156+Q156+C157+D157+E157+F157+G157+H157+I157+J157+K157+L157+M157+N157+O157+P157+Q157+R157</f>
        <v>86.5</v>
      </c>
      <c r="T157" s="22"/>
      <c r="U157" s="56"/>
      <c r="V157" s="87"/>
      <c r="W157" s="87"/>
    </row>
    <row r="158" spans="1:23" ht="14.25" customHeight="1" x14ac:dyDescent="0.3">
      <c r="A158" s="57">
        <f>A156+1</f>
        <v>68</v>
      </c>
      <c r="B158" s="59" t="s">
        <v>103</v>
      </c>
      <c r="C158" s="31"/>
      <c r="D158" s="33" t="s">
        <v>37</v>
      </c>
      <c r="E158" s="29" t="s">
        <v>32</v>
      </c>
      <c r="F158" s="29" t="s">
        <v>32</v>
      </c>
      <c r="G158" s="33" t="s">
        <v>32</v>
      </c>
      <c r="H158" s="31" t="s">
        <v>32</v>
      </c>
      <c r="I158" s="31"/>
      <c r="J158" s="29"/>
      <c r="K158" s="29"/>
      <c r="L158" s="29" t="s">
        <v>32</v>
      </c>
      <c r="M158" s="29" t="s">
        <v>32</v>
      </c>
      <c r="N158" s="29" t="s">
        <v>32</v>
      </c>
      <c r="O158" s="31" t="s">
        <v>32</v>
      </c>
      <c r="P158" s="31" t="s">
        <v>36</v>
      </c>
      <c r="Q158" s="31"/>
      <c r="R158" s="27"/>
      <c r="S158" s="22" t="s">
        <v>21</v>
      </c>
      <c r="T158" s="22" t="s">
        <v>31</v>
      </c>
      <c r="U158" s="55">
        <f>S159*104</f>
        <v>8996</v>
      </c>
      <c r="V158" s="87">
        <v>4</v>
      </c>
      <c r="W158" s="87">
        <f>U158+V158</f>
        <v>9000</v>
      </c>
    </row>
    <row r="159" spans="1:23" ht="14.25" customHeight="1" x14ac:dyDescent="0.3">
      <c r="A159" s="58"/>
      <c r="B159" s="60"/>
      <c r="C159" s="31" t="s">
        <v>32</v>
      </c>
      <c r="D159" s="27" t="s">
        <v>32</v>
      </c>
      <c r="E159" s="27" t="s">
        <v>32</v>
      </c>
      <c r="F159" s="31" t="s">
        <v>32</v>
      </c>
      <c r="G159" s="27"/>
      <c r="H159" s="31" t="s">
        <v>32</v>
      </c>
      <c r="I159" s="27" t="s">
        <v>32</v>
      </c>
      <c r="J159" s="27" t="s">
        <v>32</v>
      </c>
      <c r="K159" s="27" t="s">
        <v>32</v>
      </c>
      <c r="L159" s="27"/>
      <c r="M159" s="27" t="s">
        <v>32</v>
      </c>
      <c r="N159" s="31" t="s">
        <v>32</v>
      </c>
      <c r="O159" s="31" t="s">
        <v>32</v>
      </c>
      <c r="P159" s="27" t="s">
        <v>32</v>
      </c>
      <c r="Q159" s="27"/>
      <c r="R159" s="27"/>
      <c r="S159" s="30">
        <f>C158+D158+E158+F158+G158+H158+I158+J158+K158+L158+M158+N158+O158+P158+Q158+C159+D159+E159+F159+G159+H159+I159+J159+K159+L159+M159+N159+O159+P159+Q159+R159</f>
        <v>86.5</v>
      </c>
      <c r="T159" s="22"/>
      <c r="U159" s="56"/>
      <c r="V159" s="87"/>
      <c r="W159" s="87"/>
    </row>
    <row r="160" spans="1:23" ht="14.25" customHeight="1" x14ac:dyDescent="0.3">
      <c r="A160" s="57">
        <f>A158+1</f>
        <v>69</v>
      </c>
      <c r="B160" s="59" t="s">
        <v>104</v>
      </c>
      <c r="C160" s="31" t="s">
        <v>32</v>
      </c>
      <c r="D160" s="29" t="s">
        <v>32</v>
      </c>
      <c r="E160" s="33" t="s">
        <v>36</v>
      </c>
      <c r="F160" s="29" t="s">
        <v>32</v>
      </c>
      <c r="G160" s="29" t="s">
        <v>32</v>
      </c>
      <c r="H160" s="27"/>
      <c r="I160" s="27"/>
      <c r="J160" s="29" t="s">
        <v>32</v>
      </c>
      <c r="K160" s="29" t="s">
        <v>32</v>
      </c>
      <c r="L160" s="29" t="s">
        <v>32</v>
      </c>
      <c r="M160" s="29" t="s">
        <v>32</v>
      </c>
      <c r="N160" s="29" t="s">
        <v>32</v>
      </c>
      <c r="O160" s="27"/>
      <c r="P160" s="27"/>
      <c r="Q160" s="31" t="s">
        <v>32</v>
      </c>
      <c r="R160" s="27"/>
      <c r="S160" s="22" t="s">
        <v>21</v>
      </c>
      <c r="T160" s="22" t="s">
        <v>31</v>
      </c>
      <c r="U160" s="55">
        <f>S161*104</f>
        <v>8996</v>
      </c>
      <c r="V160" s="87">
        <v>4</v>
      </c>
      <c r="W160" s="87">
        <f>U160+V160</f>
        <v>9000</v>
      </c>
    </row>
    <row r="161" spans="1:23" ht="14.25" customHeight="1" x14ac:dyDescent="0.3">
      <c r="A161" s="58"/>
      <c r="B161" s="60"/>
      <c r="C161" s="31" t="s">
        <v>37</v>
      </c>
      <c r="D161" s="27" t="s">
        <v>32</v>
      </c>
      <c r="E161" s="27" t="s">
        <v>32</v>
      </c>
      <c r="F161" s="31" t="s">
        <v>32</v>
      </c>
      <c r="G161" s="27"/>
      <c r="H161" s="27"/>
      <c r="I161" s="27" t="s">
        <v>32</v>
      </c>
      <c r="J161" s="27" t="s">
        <v>32</v>
      </c>
      <c r="K161" s="27" t="s">
        <v>32</v>
      </c>
      <c r="L161" s="27" t="s">
        <v>32</v>
      </c>
      <c r="M161" s="27" t="s">
        <v>32</v>
      </c>
      <c r="N161" s="27"/>
      <c r="O161" s="27"/>
      <c r="P161" s="27" t="s">
        <v>32</v>
      </c>
      <c r="Q161" s="27" t="s">
        <v>32</v>
      </c>
      <c r="R161" s="27"/>
      <c r="S161" s="30">
        <f>C160+D160+E160+F160+G160+H160+I160+J160+K160+L160+M160+N160+O160+P160+Q160+C161+D161+E161+F161+G161+H161+I161+J161+K161+L161+M161+N161+O161+P161+Q161+R161</f>
        <v>86.5</v>
      </c>
      <c r="T161" s="22"/>
      <c r="U161" s="56"/>
      <c r="V161" s="87"/>
      <c r="W161" s="87"/>
    </row>
    <row r="162" spans="1:23" ht="14.25" customHeight="1" x14ac:dyDescent="0.3">
      <c r="A162" s="57">
        <f>A160+1</f>
        <v>70</v>
      </c>
      <c r="B162" s="59" t="s">
        <v>105</v>
      </c>
      <c r="C162" s="31"/>
      <c r="D162" s="29"/>
      <c r="E162" s="29" t="s">
        <v>32</v>
      </c>
      <c r="F162" s="29" t="s">
        <v>32</v>
      </c>
      <c r="G162" s="33" t="s">
        <v>32</v>
      </c>
      <c r="H162" s="31" t="s">
        <v>32</v>
      </c>
      <c r="I162" s="31" t="s">
        <v>37</v>
      </c>
      <c r="J162" s="29"/>
      <c r="K162" s="29"/>
      <c r="L162" s="29" t="s">
        <v>32</v>
      </c>
      <c r="M162" s="29" t="s">
        <v>32</v>
      </c>
      <c r="N162" s="29" t="s">
        <v>32</v>
      </c>
      <c r="O162" s="31" t="s">
        <v>32</v>
      </c>
      <c r="P162" s="31" t="s">
        <v>36</v>
      </c>
      <c r="Q162" s="31"/>
      <c r="R162" s="27"/>
      <c r="S162" s="22" t="s">
        <v>21</v>
      </c>
      <c r="T162" s="22" t="s">
        <v>31</v>
      </c>
      <c r="U162" s="55">
        <f>S163*104</f>
        <v>8996</v>
      </c>
      <c r="V162" s="87">
        <v>4</v>
      </c>
      <c r="W162" s="87">
        <f>U162+V162</f>
        <v>9000</v>
      </c>
    </row>
    <row r="163" spans="1:23" ht="14.25" customHeight="1" x14ac:dyDescent="0.3">
      <c r="A163" s="58"/>
      <c r="B163" s="60"/>
      <c r="C163" s="27"/>
      <c r="D163" s="27" t="s">
        <v>32</v>
      </c>
      <c r="E163" s="27" t="s">
        <v>32</v>
      </c>
      <c r="F163" s="31" t="s">
        <v>32</v>
      </c>
      <c r="G163" s="27"/>
      <c r="H163" s="31" t="s">
        <v>32</v>
      </c>
      <c r="I163" s="27" t="s">
        <v>32</v>
      </c>
      <c r="J163" s="27" t="s">
        <v>32</v>
      </c>
      <c r="K163" s="27" t="s">
        <v>32</v>
      </c>
      <c r="L163" s="27"/>
      <c r="M163" s="27" t="s">
        <v>32</v>
      </c>
      <c r="N163" s="31" t="s">
        <v>32</v>
      </c>
      <c r="O163" s="31" t="s">
        <v>32</v>
      </c>
      <c r="P163" s="27" t="s">
        <v>32</v>
      </c>
      <c r="Q163" s="27" t="s">
        <v>32</v>
      </c>
      <c r="R163" s="27"/>
      <c r="S163" s="30">
        <f>C162+D162+E162+F162+G162+H162+I162+J162+K162+L162+M162+N162+O162+P162+Q162+C163+D163+E163+F163+G163+H163+I163+J163+K163+L163+M163+N163+O163+P163+Q163+R163</f>
        <v>86.5</v>
      </c>
      <c r="T163" s="22"/>
      <c r="U163" s="56"/>
      <c r="V163" s="87"/>
      <c r="W163" s="87"/>
    </row>
    <row r="164" spans="1:23" ht="14.25" customHeight="1" x14ac:dyDescent="0.3">
      <c r="A164" s="57">
        <f>A162+1</f>
        <v>71</v>
      </c>
      <c r="B164" s="59" t="s">
        <v>106</v>
      </c>
      <c r="C164" s="31" t="s">
        <v>32</v>
      </c>
      <c r="D164" s="29" t="s">
        <v>32</v>
      </c>
      <c r="E164" s="29" t="s">
        <v>32</v>
      </c>
      <c r="F164" s="29" t="s">
        <v>32</v>
      </c>
      <c r="G164" s="29" t="s">
        <v>32</v>
      </c>
      <c r="H164" s="27"/>
      <c r="I164" s="27"/>
      <c r="J164" s="29" t="s">
        <v>32</v>
      </c>
      <c r="K164" s="29" t="s">
        <v>32</v>
      </c>
      <c r="L164" s="29" t="s">
        <v>32</v>
      </c>
      <c r="M164" s="29" t="s">
        <v>32</v>
      </c>
      <c r="N164" s="29" t="s">
        <v>32</v>
      </c>
      <c r="O164" s="27"/>
      <c r="P164" s="27"/>
      <c r="Q164" s="31" t="s">
        <v>36</v>
      </c>
      <c r="R164" s="27"/>
      <c r="S164" s="22" t="s">
        <v>21</v>
      </c>
      <c r="T164" s="22" t="s">
        <v>31</v>
      </c>
      <c r="U164" s="55">
        <f>S165*104</f>
        <v>8996</v>
      </c>
      <c r="V164" s="87">
        <v>4</v>
      </c>
      <c r="W164" s="87">
        <f>U164+V164</f>
        <v>9000</v>
      </c>
    </row>
    <row r="165" spans="1:23" ht="14.25" customHeight="1" x14ac:dyDescent="0.3">
      <c r="A165" s="58"/>
      <c r="B165" s="60"/>
      <c r="C165" s="27" t="s">
        <v>32</v>
      </c>
      <c r="D165" s="27" t="s">
        <v>32</v>
      </c>
      <c r="E165" s="27" t="s">
        <v>32</v>
      </c>
      <c r="F165" s="31" t="s">
        <v>37</v>
      </c>
      <c r="G165" s="27"/>
      <c r="H165" s="27"/>
      <c r="I165" s="27" t="s">
        <v>32</v>
      </c>
      <c r="J165" s="27" t="s">
        <v>32</v>
      </c>
      <c r="K165" s="27" t="s">
        <v>32</v>
      </c>
      <c r="L165" s="27" t="s">
        <v>32</v>
      </c>
      <c r="M165" s="27" t="s">
        <v>32</v>
      </c>
      <c r="N165" s="27"/>
      <c r="O165" s="27"/>
      <c r="P165" s="27" t="s">
        <v>32</v>
      </c>
      <c r="Q165" s="27" t="s">
        <v>32</v>
      </c>
      <c r="R165" s="27"/>
      <c r="S165" s="30">
        <f>C164+D164+E164+F164+G164+H164+I164+J164+K164+L164+M164+N164+O164+P164+Q164+C165+D165+E165+F165+G165+H165+I165+J165+K165+L165+M165+N165+O165+P165+Q165+R165</f>
        <v>86.5</v>
      </c>
      <c r="T165" s="22"/>
      <c r="U165" s="56"/>
      <c r="V165" s="87"/>
      <c r="W165" s="87"/>
    </row>
    <row r="166" spans="1:23" ht="14.25" customHeight="1" x14ac:dyDescent="0.3">
      <c r="A166" s="57">
        <f>A164+1</f>
        <v>72</v>
      </c>
      <c r="B166" s="59" t="s">
        <v>107</v>
      </c>
      <c r="C166" s="31"/>
      <c r="D166" s="29"/>
      <c r="E166" s="29" t="s">
        <v>32</v>
      </c>
      <c r="F166" s="29" t="s">
        <v>32</v>
      </c>
      <c r="G166" s="33" t="s">
        <v>32</v>
      </c>
      <c r="H166" s="31" t="s">
        <v>32</v>
      </c>
      <c r="I166" s="31" t="s">
        <v>37</v>
      </c>
      <c r="J166" s="29"/>
      <c r="K166" s="29"/>
      <c r="L166" s="29" t="s">
        <v>32</v>
      </c>
      <c r="M166" s="29" t="s">
        <v>32</v>
      </c>
      <c r="N166" s="29" t="s">
        <v>32</v>
      </c>
      <c r="O166" s="31" t="s">
        <v>32</v>
      </c>
      <c r="P166" s="31" t="s">
        <v>36</v>
      </c>
      <c r="Q166" s="31"/>
      <c r="R166" s="27"/>
      <c r="S166" s="22" t="s">
        <v>21</v>
      </c>
      <c r="T166" s="22" t="s">
        <v>31</v>
      </c>
      <c r="U166" s="55">
        <f>S167*104</f>
        <v>8996</v>
      </c>
      <c r="V166" s="87">
        <v>4</v>
      </c>
      <c r="W166" s="87">
        <f>U166+V166</f>
        <v>9000</v>
      </c>
    </row>
    <row r="167" spans="1:23" ht="14.25" customHeight="1" x14ac:dyDescent="0.3">
      <c r="A167" s="58"/>
      <c r="B167" s="60"/>
      <c r="C167" s="27"/>
      <c r="D167" s="27" t="s">
        <v>32</v>
      </c>
      <c r="E167" s="27" t="s">
        <v>32</v>
      </c>
      <c r="F167" s="31" t="s">
        <v>32</v>
      </c>
      <c r="G167" s="27"/>
      <c r="H167" s="31" t="s">
        <v>32</v>
      </c>
      <c r="I167" s="27" t="s">
        <v>32</v>
      </c>
      <c r="J167" s="27" t="s">
        <v>32</v>
      </c>
      <c r="K167" s="27" t="s">
        <v>32</v>
      </c>
      <c r="L167" s="27"/>
      <c r="M167" s="27" t="s">
        <v>32</v>
      </c>
      <c r="N167" s="31" t="s">
        <v>32</v>
      </c>
      <c r="O167" s="31" t="s">
        <v>32</v>
      </c>
      <c r="P167" s="27" t="s">
        <v>32</v>
      </c>
      <c r="Q167" s="27" t="s">
        <v>32</v>
      </c>
      <c r="R167" s="27"/>
      <c r="S167" s="30">
        <f>C166+D166+E166+F166+G166+H166+I166+J166+K166+L166+M166+N166+O166+P166+Q166+C167+D167+E167+F167+G167+H167+I167+J167+K167+L167+M167+N167+O167+P167+Q167+R167</f>
        <v>86.5</v>
      </c>
      <c r="T167" s="22"/>
      <c r="U167" s="56"/>
      <c r="V167" s="87"/>
      <c r="W167" s="87"/>
    </row>
    <row r="168" spans="1:23" ht="14.25" customHeight="1" x14ac:dyDescent="0.3">
      <c r="A168" s="57">
        <f>A166+1</f>
        <v>73</v>
      </c>
      <c r="B168" s="59" t="s">
        <v>108</v>
      </c>
      <c r="C168" s="31"/>
      <c r="D168" s="33" t="s">
        <v>37</v>
      </c>
      <c r="E168" s="29" t="s">
        <v>32</v>
      </c>
      <c r="F168" s="29" t="s">
        <v>32</v>
      </c>
      <c r="G168" s="33" t="s">
        <v>32</v>
      </c>
      <c r="H168" s="31" t="s">
        <v>32</v>
      </c>
      <c r="I168" s="31"/>
      <c r="J168" s="29"/>
      <c r="K168" s="29"/>
      <c r="L168" s="29" t="s">
        <v>32</v>
      </c>
      <c r="M168" s="29" t="s">
        <v>32</v>
      </c>
      <c r="N168" s="29" t="s">
        <v>32</v>
      </c>
      <c r="O168" s="31" t="s">
        <v>32</v>
      </c>
      <c r="P168" s="31" t="s">
        <v>36</v>
      </c>
      <c r="Q168" s="31"/>
      <c r="R168" s="27"/>
      <c r="S168" s="22" t="s">
        <v>21</v>
      </c>
      <c r="T168" s="22" t="s">
        <v>31</v>
      </c>
      <c r="U168" s="55">
        <f>S169*104</f>
        <v>8996</v>
      </c>
      <c r="V168" s="87">
        <v>4</v>
      </c>
      <c r="W168" s="87">
        <f>U168+V168</f>
        <v>9000</v>
      </c>
    </row>
    <row r="169" spans="1:23" ht="14.25" customHeight="1" x14ac:dyDescent="0.3">
      <c r="A169" s="58"/>
      <c r="B169" s="60"/>
      <c r="C169" s="31" t="s">
        <v>32</v>
      </c>
      <c r="D169" s="27" t="s">
        <v>32</v>
      </c>
      <c r="E169" s="27" t="s">
        <v>32</v>
      </c>
      <c r="F169" s="31" t="s">
        <v>32</v>
      </c>
      <c r="G169" s="27"/>
      <c r="H169" s="31" t="s">
        <v>32</v>
      </c>
      <c r="I169" s="27" t="s">
        <v>32</v>
      </c>
      <c r="J169" s="27" t="s">
        <v>32</v>
      </c>
      <c r="K169" s="27" t="s">
        <v>32</v>
      </c>
      <c r="L169" s="27"/>
      <c r="M169" s="27" t="s">
        <v>32</v>
      </c>
      <c r="N169" s="31" t="s">
        <v>32</v>
      </c>
      <c r="O169" s="31" t="s">
        <v>32</v>
      </c>
      <c r="P169" s="27" t="s">
        <v>32</v>
      </c>
      <c r="Q169" s="27"/>
      <c r="R169" s="27"/>
      <c r="S169" s="30">
        <f>C168+D168+E168+F168+G168+H168+I168+J168+K168+L168+M168+N168+O168+P168+Q168+C169+D169+E169+F169+G169+H169+I169+J169+K169+L169+M169+N169+O169+P169+Q169+R169</f>
        <v>86.5</v>
      </c>
      <c r="T169" s="22"/>
      <c r="U169" s="56"/>
      <c r="V169" s="87"/>
      <c r="W169" s="87"/>
    </row>
    <row r="170" spans="1:23" ht="14.25" customHeight="1" x14ac:dyDescent="0.3">
      <c r="A170" s="57">
        <f>A168+1</f>
        <v>74</v>
      </c>
      <c r="B170" s="59" t="s">
        <v>109</v>
      </c>
      <c r="C170" s="31" t="s">
        <v>32</v>
      </c>
      <c r="D170" s="29" t="s">
        <v>32</v>
      </c>
      <c r="E170" s="33" t="s">
        <v>36</v>
      </c>
      <c r="F170" s="29" t="s">
        <v>32</v>
      </c>
      <c r="G170" s="29" t="s">
        <v>32</v>
      </c>
      <c r="H170" s="27"/>
      <c r="I170" s="27"/>
      <c r="J170" s="29" t="s">
        <v>32</v>
      </c>
      <c r="K170" s="29" t="s">
        <v>32</v>
      </c>
      <c r="L170" s="29" t="s">
        <v>32</v>
      </c>
      <c r="M170" s="29" t="s">
        <v>32</v>
      </c>
      <c r="N170" s="29" t="s">
        <v>32</v>
      </c>
      <c r="O170" s="27"/>
      <c r="P170" s="27"/>
      <c r="Q170" s="31" t="s">
        <v>32</v>
      </c>
      <c r="R170" s="27"/>
      <c r="S170" s="22" t="s">
        <v>21</v>
      </c>
      <c r="T170" s="22" t="s">
        <v>31</v>
      </c>
      <c r="U170" s="55">
        <f>S171*104</f>
        <v>8996</v>
      </c>
      <c r="V170" s="87">
        <v>4</v>
      </c>
      <c r="W170" s="87">
        <f t="shared" ref="W170:W188" si="0">U170+V170</f>
        <v>9000</v>
      </c>
    </row>
    <row r="171" spans="1:23" ht="14.25" customHeight="1" x14ac:dyDescent="0.3">
      <c r="A171" s="58"/>
      <c r="B171" s="60"/>
      <c r="C171" s="31" t="s">
        <v>37</v>
      </c>
      <c r="D171" s="27" t="s">
        <v>32</v>
      </c>
      <c r="E171" s="27" t="s">
        <v>32</v>
      </c>
      <c r="F171" s="31" t="s">
        <v>32</v>
      </c>
      <c r="G171" s="27"/>
      <c r="H171" s="27"/>
      <c r="I171" s="27" t="s">
        <v>32</v>
      </c>
      <c r="J171" s="27" t="s">
        <v>32</v>
      </c>
      <c r="K171" s="27" t="s">
        <v>32</v>
      </c>
      <c r="L171" s="27" t="s">
        <v>32</v>
      </c>
      <c r="M171" s="27" t="s">
        <v>32</v>
      </c>
      <c r="N171" s="27"/>
      <c r="O171" s="27"/>
      <c r="P171" s="27" t="s">
        <v>32</v>
      </c>
      <c r="Q171" s="27" t="s">
        <v>32</v>
      </c>
      <c r="R171" s="27"/>
      <c r="S171" s="30">
        <f>C170+D170+E170+F170+G170+H170+I170+J170+K170+L170+M170+N170+O170+P170+Q170+C171+D171+E171+F171+G171+H171+I171+J171+K171+L171+M171+N171+O171+P171+Q171+R171</f>
        <v>86.5</v>
      </c>
      <c r="T171" s="22"/>
      <c r="U171" s="56"/>
      <c r="V171" s="87"/>
      <c r="W171" s="87"/>
    </row>
    <row r="172" spans="1:23" x14ac:dyDescent="0.3">
      <c r="A172" s="57">
        <f>A170+1</f>
        <v>75</v>
      </c>
      <c r="B172" s="59" t="s">
        <v>117</v>
      </c>
      <c r="C172" s="31" t="s">
        <v>31</v>
      </c>
      <c r="D172" s="33" t="s">
        <v>31</v>
      </c>
      <c r="E172" s="33" t="s">
        <v>31</v>
      </c>
      <c r="F172" s="33"/>
      <c r="G172" s="33"/>
      <c r="H172" s="31" t="s">
        <v>31</v>
      </c>
      <c r="I172" s="31" t="s">
        <v>31</v>
      </c>
      <c r="J172" s="33" t="s">
        <v>31</v>
      </c>
      <c r="K172" s="33" t="s">
        <v>31</v>
      </c>
      <c r="L172" s="33" t="s">
        <v>31</v>
      </c>
      <c r="M172" s="33"/>
      <c r="N172" s="33"/>
      <c r="O172" s="31" t="s">
        <v>31</v>
      </c>
      <c r="P172" s="31" t="s">
        <v>31</v>
      </c>
      <c r="Q172" s="31" t="s">
        <v>31</v>
      </c>
      <c r="R172" s="27"/>
      <c r="S172" s="22" t="s">
        <v>21</v>
      </c>
      <c r="T172" s="22" t="s">
        <v>31</v>
      </c>
      <c r="U172" s="55">
        <v>40500</v>
      </c>
      <c r="V172" s="90"/>
      <c r="W172" s="87">
        <f t="shared" si="0"/>
        <v>40500</v>
      </c>
    </row>
    <row r="173" spans="1:23" ht="14.25" customHeight="1" x14ac:dyDescent="0.3">
      <c r="A173" s="58"/>
      <c r="B173" s="60"/>
      <c r="C173" s="31" t="s">
        <v>31</v>
      </c>
      <c r="D173" s="31" t="s">
        <v>31</v>
      </c>
      <c r="E173" s="31"/>
      <c r="F173" s="31"/>
      <c r="G173" s="31" t="s">
        <v>31</v>
      </c>
      <c r="H173" s="31" t="s">
        <v>31</v>
      </c>
      <c r="I173" s="31" t="s">
        <v>31</v>
      </c>
      <c r="J173" s="31" t="s">
        <v>31</v>
      </c>
      <c r="K173" s="31" t="s">
        <v>31</v>
      </c>
      <c r="L173" s="31"/>
      <c r="M173" s="31"/>
      <c r="N173" s="31" t="s">
        <v>31</v>
      </c>
      <c r="O173" s="31" t="s">
        <v>31</v>
      </c>
      <c r="P173" s="31" t="s">
        <v>31</v>
      </c>
      <c r="Q173" s="31" t="s">
        <v>31</v>
      </c>
      <c r="R173" s="27"/>
      <c r="S173" s="30">
        <f>C172+D172+E172+F172+G172+H172+I172+J172+K172+L172+M172+N172+O172+P172+Q172+C173+D173+E173+F173+G173+H173+I173+J173+K173+L173+M173+N173+O173+P173+Q173+R173</f>
        <v>176</v>
      </c>
      <c r="T173" s="22"/>
      <c r="U173" s="56"/>
      <c r="V173" s="90"/>
      <c r="W173" s="87"/>
    </row>
    <row r="174" spans="1:23" ht="14.25" customHeight="1" x14ac:dyDescent="0.3">
      <c r="A174" s="57">
        <f>A172+1</f>
        <v>76</v>
      </c>
      <c r="B174" s="59" t="s">
        <v>118</v>
      </c>
      <c r="C174" s="31" t="s">
        <v>31</v>
      </c>
      <c r="D174" s="33" t="s">
        <v>31</v>
      </c>
      <c r="E174" s="33" t="s">
        <v>31</v>
      </c>
      <c r="F174" s="33"/>
      <c r="G174" s="33"/>
      <c r="H174" s="31" t="s">
        <v>31</v>
      </c>
      <c r="I174" s="31" t="s">
        <v>31</v>
      </c>
      <c r="J174" s="33" t="s">
        <v>31</v>
      </c>
      <c r="K174" s="33" t="s">
        <v>31</v>
      </c>
      <c r="L174" s="33" t="s">
        <v>31</v>
      </c>
      <c r="M174" s="33"/>
      <c r="N174" s="33"/>
      <c r="O174" s="31" t="s">
        <v>31</v>
      </c>
      <c r="P174" s="31" t="s">
        <v>31</v>
      </c>
      <c r="Q174" s="31" t="s">
        <v>31</v>
      </c>
      <c r="R174" s="27"/>
      <c r="S174" s="22" t="s">
        <v>21</v>
      </c>
      <c r="T174" s="22" t="s">
        <v>31</v>
      </c>
      <c r="U174" s="55">
        <v>120800</v>
      </c>
      <c r="V174" s="90"/>
      <c r="W174" s="87">
        <f t="shared" si="0"/>
        <v>120800</v>
      </c>
    </row>
    <row r="175" spans="1:23" ht="14.25" customHeight="1" x14ac:dyDescent="0.3">
      <c r="A175" s="58"/>
      <c r="B175" s="60"/>
      <c r="C175" s="31" t="s">
        <v>31</v>
      </c>
      <c r="D175" s="31" t="s">
        <v>31</v>
      </c>
      <c r="E175" s="31"/>
      <c r="F175" s="31"/>
      <c r="G175" s="31" t="s">
        <v>31</v>
      </c>
      <c r="H175" s="31" t="s">
        <v>31</v>
      </c>
      <c r="I175" s="31" t="s">
        <v>31</v>
      </c>
      <c r="J175" s="31" t="s">
        <v>31</v>
      </c>
      <c r="K175" s="31" t="s">
        <v>31</v>
      </c>
      <c r="L175" s="31"/>
      <c r="M175" s="31"/>
      <c r="N175" s="31" t="s">
        <v>31</v>
      </c>
      <c r="O175" s="31" t="s">
        <v>31</v>
      </c>
      <c r="P175" s="31" t="s">
        <v>31</v>
      </c>
      <c r="Q175" s="31" t="s">
        <v>31</v>
      </c>
      <c r="R175" s="27"/>
      <c r="S175" s="30">
        <f>C174+D174+E174+F174+G174+H174+I174+J174+K174+L174+M174+N174+O174+P174+Q174+C175+D175+E175+F175+G175+H175+I175+J175+K175+L175+M175+N175+O175+P175+Q175+R175</f>
        <v>176</v>
      </c>
      <c r="T175" s="22"/>
      <c r="U175" s="56"/>
      <c r="V175" s="90"/>
      <c r="W175" s="87"/>
    </row>
    <row r="176" spans="1:23" ht="14.25" customHeight="1" x14ac:dyDescent="0.3">
      <c r="A176" s="57">
        <f>A174+1</f>
        <v>77</v>
      </c>
      <c r="B176" s="59" t="s">
        <v>119</v>
      </c>
      <c r="C176" s="31" t="s">
        <v>31</v>
      </c>
      <c r="D176" s="33" t="s">
        <v>31</v>
      </c>
      <c r="E176" s="33" t="s">
        <v>31</v>
      </c>
      <c r="F176" s="33"/>
      <c r="G176" s="33"/>
      <c r="H176" s="31" t="s">
        <v>31</v>
      </c>
      <c r="I176" s="31" t="s">
        <v>31</v>
      </c>
      <c r="J176" s="33" t="s">
        <v>31</v>
      </c>
      <c r="K176" s="33" t="s">
        <v>31</v>
      </c>
      <c r="L176" s="33" t="s">
        <v>31</v>
      </c>
      <c r="M176" s="33"/>
      <c r="N176" s="33"/>
      <c r="O176" s="31" t="s">
        <v>31</v>
      </c>
      <c r="P176" s="31" t="s">
        <v>31</v>
      </c>
      <c r="Q176" s="31" t="s">
        <v>31</v>
      </c>
      <c r="R176" s="27"/>
      <c r="S176" s="22" t="s">
        <v>21</v>
      </c>
      <c r="T176" s="22" t="s">
        <v>31</v>
      </c>
      <c r="U176" s="55">
        <v>120800</v>
      </c>
      <c r="V176" s="90"/>
      <c r="W176" s="87">
        <f t="shared" si="0"/>
        <v>120800</v>
      </c>
    </row>
    <row r="177" spans="1:23" ht="14.25" customHeight="1" x14ac:dyDescent="0.3">
      <c r="A177" s="58"/>
      <c r="B177" s="60"/>
      <c r="C177" s="31" t="s">
        <v>31</v>
      </c>
      <c r="D177" s="31" t="s">
        <v>31</v>
      </c>
      <c r="E177" s="31"/>
      <c r="F177" s="31"/>
      <c r="G177" s="31" t="s">
        <v>31</v>
      </c>
      <c r="H177" s="31" t="s">
        <v>31</v>
      </c>
      <c r="I177" s="31" t="s">
        <v>31</v>
      </c>
      <c r="J177" s="31" t="s">
        <v>31</v>
      </c>
      <c r="K177" s="31" t="s">
        <v>31</v>
      </c>
      <c r="L177" s="31"/>
      <c r="M177" s="31"/>
      <c r="N177" s="31" t="s">
        <v>31</v>
      </c>
      <c r="O177" s="31" t="s">
        <v>31</v>
      </c>
      <c r="P177" s="31" t="s">
        <v>31</v>
      </c>
      <c r="Q177" s="31" t="s">
        <v>31</v>
      </c>
      <c r="R177" s="27"/>
      <c r="S177" s="30">
        <f>C176+D176+E176+F176+G176+H176+I176+J176+K176+L176+M176+N176+O176+P176+Q176+C177+D177+E177+F177+G177+H177+I177+J177+K177+L177+M177+N177+O177+P177+Q177+R177</f>
        <v>176</v>
      </c>
      <c r="T177" s="22"/>
      <c r="U177" s="56"/>
      <c r="V177" s="90"/>
      <c r="W177" s="87"/>
    </row>
    <row r="178" spans="1:23" ht="14.25" customHeight="1" x14ac:dyDescent="0.3">
      <c r="A178" s="57">
        <f>A176+1</f>
        <v>78</v>
      </c>
      <c r="B178" s="61" t="s">
        <v>120</v>
      </c>
      <c r="C178" s="31" t="s">
        <v>31</v>
      </c>
      <c r="D178" s="33" t="s">
        <v>31</v>
      </c>
      <c r="E178" s="33" t="s">
        <v>31</v>
      </c>
      <c r="F178" s="33"/>
      <c r="G178" s="33"/>
      <c r="H178" s="31" t="s">
        <v>31</v>
      </c>
      <c r="I178" s="31" t="s">
        <v>31</v>
      </c>
      <c r="J178" s="33" t="s">
        <v>31</v>
      </c>
      <c r="K178" s="33" t="s">
        <v>31</v>
      </c>
      <c r="L178" s="33" t="s">
        <v>31</v>
      </c>
      <c r="M178" s="33"/>
      <c r="N178" s="33"/>
      <c r="O178" s="31" t="s">
        <v>31</v>
      </c>
      <c r="P178" s="31" t="s">
        <v>31</v>
      </c>
      <c r="Q178" s="31" t="s">
        <v>31</v>
      </c>
      <c r="R178" s="27"/>
      <c r="S178" s="22" t="s">
        <v>21</v>
      </c>
      <c r="T178" s="22" t="s">
        <v>31</v>
      </c>
      <c r="U178" s="55">
        <v>17294</v>
      </c>
      <c r="V178" s="90"/>
      <c r="W178" s="87">
        <f t="shared" si="0"/>
        <v>17294</v>
      </c>
    </row>
    <row r="179" spans="1:23" ht="14.25" customHeight="1" x14ac:dyDescent="0.3">
      <c r="A179" s="58"/>
      <c r="B179" s="60"/>
      <c r="C179" s="31" t="s">
        <v>31</v>
      </c>
      <c r="D179" s="31" t="s">
        <v>31</v>
      </c>
      <c r="E179" s="31"/>
      <c r="F179" s="31"/>
      <c r="G179" s="31" t="s">
        <v>31</v>
      </c>
      <c r="H179" s="31" t="s">
        <v>31</v>
      </c>
      <c r="I179" s="31" t="s">
        <v>31</v>
      </c>
      <c r="J179" s="31" t="s">
        <v>31</v>
      </c>
      <c r="K179" s="31" t="s">
        <v>31</v>
      </c>
      <c r="L179" s="31"/>
      <c r="M179" s="31"/>
      <c r="N179" s="31" t="s">
        <v>31</v>
      </c>
      <c r="O179" s="31" t="s">
        <v>31</v>
      </c>
      <c r="P179" s="31" t="s">
        <v>31</v>
      </c>
      <c r="Q179" s="31" t="s">
        <v>31</v>
      </c>
      <c r="R179" s="27"/>
      <c r="S179" s="30">
        <f>C178+D178+E178+F178+G178+H178+I178+J178+K178+L178+M178+N178+O178+P178+Q178+C179+D179+E179+F179+G179+H179+I179+J179+K179+L179+M179+N179+O179+P179+Q179+R179</f>
        <v>176</v>
      </c>
      <c r="T179" s="22"/>
      <c r="U179" s="56"/>
      <c r="V179" s="90"/>
      <c r="W179" s="87"/>
    </row>
    <row r="180" spans="1:23" ht="14.25" customHeight="1" x14ac:dyDescent="0.3">
      <c r="A180" s="57">
        <f>A178+1</f>
        <v>79</v>
      </c>
      <c r="B180" s="59" t="s">
        <v>121</v>
      </c>
      <c r="C180" s="31" t="s">
        <v>31</v>
      </c>
      <c r="D180" s="33" t="s">
        <v>31</v>
      </c>
      <c r="E180" s="33" t="s">
        <v>31</v>
      </c>
      <c r="F180" s="33"/>
      <c r="G180" s="33"/>
      <c r="H180" s="31" t="s">
        <v>31</v>
      </c>
      <c r="I180" s="31" t="s">
        <v>31</v>
      </c>
      <c r="J180" s="33" t="s">
        <v>31</v>
      </c>
      <c r="K180" s="33" t="s">
        <v>31</v>
      </c>
      <c r="L180" s="33" t="s">
        <v>31</v>
      </c>
      <c r="M180" s="33"/>
      <c r="N180" s="33"/>
      <c r="O180" s="31" t="s">
        <v>31</v>
      </c>
      <c r="P180" s="31" t="s">
        <v>31</v>
      </c>
      <c r="Q180" s="31" t="s">
        <v>31</v>
      </c>
      <c r="R180" s="27"/>
      <c r="S180" s="22" t="s">
        <v>21</v>
      </c>
      <c r="T180" s="22" t="s">
        <v>31</v>
      </c>
      <c r="U180" s="55">
        <v>26000</v>
      </c>
      <c r="V180" s="90"/>
      <c r="W180" s="87">
        <f t="shared" si="0"/>
        <v>26000</v>
      </c>
    </row>
    <row r="181" spans="1:23" ht="14.25" customHeight="1" x14ac:dyDescent="0.3">
      <c r="A181" s="58"/>
      <c r="B181" s="60"/>
      <c r="C181" s="31" t="s">
        <v>31</v>
      </c>
      <c r="D181" s="31" t="s">
        <v>31</v>
      </c>
      <c r="E181" s="31"/>
      <c r="F181" s="31"/>
      <c r="G181" s="31" t="s">
        <v>31</v>
      </c>
      <c r="H181" s="31" t="s">
        <v>31</v>
      </c>
      <c r="I181" s="31" t="s">
        <v>31</v>
      </c>
      <c r="J181" s="31" t="s">
        <v>31</v>
      </c>
      <c r="K181" s="31" t="s">
        <v>31</v>
      </c>
      <c r="L181" s="31"/>
      <c r="M181" s="31"/>
      <c r="N181" s="31" t="s">
        <v>31</v>
      </c>
      <c r="O181" s="31" t="s">
        <v>31</v>
      </c>
      <c r="P181" s="31" t="s">
        <v>31</v>
      </c>
      <c r="Q181" s="31" t="s">
        <v>31</v>
      </c>
      <c r="R181" s="27"/>
      <c r="S181" s="30">
        <f>C180+D180+E180+F180+G180+H180+I180+J180+K180+L180+M180+N180+O180+P180+Q180+C181+D181+E181+F181+G181+H181+I181+J181+K181+L181+M181+N181+O181+P181+Q181+R181</f>
        <v>176</v>
      </c>
      <c r="T181" s="22"/>
      <c r="U181" s="56"/>
      <c r="V181" s="90"/>
      <c r="W181" s="87"/>
    </row>
    <row r="182" spans="1:23" s="35" customFormat="1" ht="14.25" customHeight="1" x14ac:dyDescent="0.3">
      <c r="A182" s="82">
        <f>A180+1</f>
        <v>80</v>
      </c>
      <c r="B182" s="61" t="s">
        <v>122</v>
      </c>
      <c r="C182" s="31" t="s">
        <v>31</v>
      </c>
      <c r="D182" s="33" t="s">
        <v>31</v>
      </c>
      <c r="E182" s="33" t="s">
        <v>31</v>
      </c>
      <c r="F182" s="33"/>
      <c r="G182" s="33"/>
      <c r="H182" s="31" t="s">
        <v>31</v>
      </c>
      <c r="I182" s="31" t="s">
        <v>31</v>
      </c>
      <c r="J182" s="33" t="s">
        <v>31</v>
      </c>
      <c r="K182" s="33" t="s">
        <v>31</v>
      </c>
      <c r="L182" s="33" t="s">
        <v>31</v>
      </c>
      <c r="M182" s="33"/>
      <c r="N182" s="33"/>
      <c r="O182" s="31" t="s">
        <v>31</v>
      </c>
      <c r="P182" s="31" t="s">
        <v>31</v>
      </c>
      <c r="Q182" s="31" t="s">
        <v>31</v>
      </c>
      <c r="R182" s="31"/>
      <c r="S182" s="34" t="s">
        <v>21</v>
      </c>
      <c r="T182" s="34" t="s">
        <v>31</v>
      </c>
      <c r="U182" s="55">
        <v>17294</v>
      </c>
      <c r="V182" s="90"/>
      <c r="W182" s="87">
        <f t="shared" si="0"/>
        <v>17294</v>
      </c>
    </row>
    <row r="183" spans="1:23" s="35" customFormat="1" ht="14.25" customHeight="1" x14ac:dyDescent="0.3">
      <c r="A183" s="83"/>
      <c r="B183" s="86"/>
      <c r="C183" s="31" t="s">
        <v>31</v>
      </c>
      <c r="D183" s="31" t="s">
        <v>31</v>
      </c>
      <c r="E183" s="31"/>
      <c r="F183" s="31"/>
      <c r="G183" s="31" t="s">
        <v>31</v>
      </c>
      <c r="H183" s="31" t="s">
        <v>31</v>
      </c>
      <c r="I183" s="31" t="s">
        <v>31</v>
      </c>
      <c r="J183" s="31" t="s">
        <v>31</v>
      </c>
      <c r="K183" s="31" t="s">
        <v>31</v>
      </c>
      <c r="L183" s="31"/>
      <c r="M183" s="31"/>
      <c r="N183" s="31" t="s">
        <v>31</v>
      </c>
      <c r="O183" s="31" t="s">
        <v>31</v>
      </c>
      <c r="P183" s="31" t="s">
        <v>31</v>
      </c>
      <c r="Q183" s="31" t="s">
        <v>31</v>
      </c>
      <c r="R183" s="31"/>
      <c r="S183" s="32">
        <f>C182+D182+E182+F182+G182+H182+I182+J182+K182+L182+M182+N182+O182+P182+Q182+C183+D183+E183+F183+G183+H183+I183+J183+K183+L183+M183+N183+O183+P183+Q183+R183</f>
        <v>176</v>
      </c>
      <c r="T183" s="34"/>
      <c r="U183" s="55"/>
      <c r="V183" s="90"/>
      <c r="W183" s="87"/>
    </row>
    <row r="184" spans="1:23" ht="14.25" customHeight="1" x14ac:dyDescent="0.3">
      <c r="A184" s="57">
        <f>A182+1</f>
        <v>81</v>
      </c>
      <c r="B184" s="59" t="s">
        <v>123</v>
      </c>
      <c r="C184" s="31" t="s">
        <v>31</v>
      </c>
      <c r="D184" s="33" t="s">
        <v>31</v>
      </c>
      <c r="E184" s="33" t="s">
        <v>31</v>
      </c>
      <c r="F184" s="33"/>
      <c r="G184" s="33"/>
      <c r="H184" s="31" t="s">
        <v>31</v>
      </c>
      <c r="I184" s="31" t="s">
        <v>31</v>
      </c>
      <c r="J184" s="33" t="s">
        <v>31</v>
      </c>
      <c r="K184" s="33" t="s">
        <v>31</v>
      </c>
      <c r="L184" s="33" t="s">
        <v>31</v>
      </c>
      <c r="M184" s="33"/>
      <c r="N184" s="33"/>
      <c r="O184" s="31" t="s">
        <v>31</v>
      </c>
      <c r="P184" s="31" t="s">
        <v>31</v>
      </c>
      <c r="Q184" s="31" t="s">
        <v>31</v>
      </c>
      <c r="R184" s="27"/>
      <c r="S184" s="22" t="s">
        <v>21</v>
      </c>
      <c r="T184" s="22" t="s">
        <v>31</v>
      </c>
      <c r="U184" s="55">
        <v>17294</v>
      </c>
      <c r="V184" s="90"/>
      <c r="W184" s="87">
        <f t="shared" si="0"/>
        <v>17294</v>
      </c>
    </row>
    <row r="185" spans="1:23" ht="14.25" customHeight="1" x14ac:dyDescent="0.3">
      <c r="A185" s="58"/>
      <c r="B185" s="60"/>
      <c r="C185" s="31" t="s">
        <v>31</v>
      </c>
      <c r="D185" s="31" t="s">
        <v>31</v>
      </c>
      <c r="E185" s="31"/>
      <c r="F185" s="31"/>
      <c r="G185" s="31" t="s">
        <v>31</v>
      </c>
      <c r="H185" s="31" t="s">
        <v>31</v>
      </c>
      <c r="I185" s="31" t="s">
        <v>31</v>
      </c>
      <c r="J185" s="31" t="s">
        <v>31</v>
      </c>
      <c r="K185" s="31" t="s">
        <v>31</v>
      </c>
      <c r="L185" s="31"/>
      <c r="M185" s="31"/>
      <c r="N185" s="31" t="s">
        <v>31</v>
      </c>
      <c r="O185" s="31" t="s">
        <v>31</v>
      </c>
      <c r="P185" s="31" t="s">
        <v>31</v>
      </c>
      <c r="Q185" s="31" t="s">
        <v>31</v>
      </c>
      <c r="R185" s="27"/>
      <c r="S185" s="30">
        <f>C184+D184+E184+F184+G184+H184+I184+J184+K184+L184+M184+N184+O184+P184+Q184+C185+D185+E185+F185+G185+H185+I185+J185+K185+L185+M185+N185+O185+P185+Q185+R185</f>
        <v>176</v>
      </c>
      <c r="T185" s="22"/>
      <c r="U185" s="56"/>
      <c r="V185" s="90"/>
      <c r="W185" s="87"/>
    </row>
    <row r="186" spans="1:23" ht="14.25" customHeight="1" x14ac:dyDescent="0.3">
      <c r="A186" s="57">
        <f>A184+1</f>
        <v>82</v>
      </c>
      <c r="B186" s="59" t="s">
        <v>124</v>
      </c>
      <c r="C186" s="31" t="s">
        <v>31</v>
      </c>
      <c r="D186" s="33" t="s">
        <v>31</v>
      </c>
      <c r="E186" s="33" t="s">
        <v>31</v>
      </c>
      <c r="F186" s="33"/>
      <c r="G186" s="33"/>
      <c r="H186" s="31" t="s">
        <v>31</v>
      </c>
      <c r="I186" s="31" t="s">
        <v>31</v>
      </c>
      <c r="J186" s="33" t="s">
        <v>31</v>
      </c>
      <c r="K186" s="33" t="s">
        <v>31</v>
      </c>
      <c r="L186" s="33" t="s">
        <v>31</v>
      </c>
      <c r="M186" s="33"/>
      <c r="N186" s="33"/>
      <c r="O186" s="31" t="s">
        <v>31</v>
      </c>
      <c r="P186" s="31" t="s">
        <v>31</v>
      </c>
      <c r="Q186" s="31" t="s">
        <v>31</v>
      </c>
      <c r="R186" s="27"/>
      <c r="S186" s="22" t="s">
        <v>21</v>
      </c>
      <c r="T186" s="22" t="s">
        <v>31</v>
      </c>
      <c r="U186" s="55">
        <v>17294</v>
      </c>
      <c r="V186" s="90"/>
      <c r="W186" s="87">
        <f t="shared" si="0"/>
        <v>17294</v>
      </c>
    </row>
    <row r="187" spans="1:23" ht="14.25" customHeight="1" x14ac:dyDescent="0.3">
      <c r="A187" s="58"/>
      <c r="B187" s="60"/>
      <c r="C187" s="31" t="s">
        <v>31</v>
      </c>
      <c r="D187" s="31" t="s">
        <v>31</v>
      </c>
      <c r="E187" s="31"/>
      <c r="F187" s="31"/>
      <c r="G187" s="31" t="s">
        <v>31</v>
      </c>
      <c r="H187" s="31" t="s">
        <v>31</v>
      </c>
      <c r="I187" s="31" t="s">
        <v>31</v>
      </c>
      <c r="J187" s="31" t="s">
        <v>31</v>
      </c>
      <c r="K187" s="31" t="s">
        <v>31</v>
      </c>
      <c r="L187" s="31"/>
      <c r="M187" s="31"/>
      <c r="N187" s="31" t="s">
        <v>31</v>
      </c>
      <c r="O187" s="31" t="s">
        <v>31</v>
      </c>
      <c r="P187" s="31" t="s">
        <v>31</v>
      </c>
      <c r="Q187" s="31" t="s">
        <v>31</v>
      </c>
      <c r="R187" s="27"/>
      <c r="S187" s="30">
        <f>C186+D186+E186+F186+G186+H186+I186+J186+K186+L186+M186+N186+O186+P186+Q186+C187+D187+E187+F187+G187+H187+I187+J187+K187+L187+M187+N187+O187+P187+Q187+R187</f>
        <v>176</v>
      </c>
      <c r="T187" s="22"/>
      <c r="U187" s="56"/>
      <c r="V187" s="90"/>
      <c r="W187" s="87"/>
    </row>
    <row r="188" spans="1:23" ht="14.25" customHeight="1" x14ac:dyDescent="0.3">
      <c r="A188" s="57">
        <f>A186+1</f>
        <v>83</v>
      </c>
      <c r="B188" s="59" t="s">
        <v>125</v>
      </c>
      <c r="C188" s="31" t="s">
        <v>31</v>
      </c>
      <c r="D188" s="33" t="s">
        <v>31</v>
      </c>
      <c r="E188" s="33" t="s">
        <v>31</v>
      </c>
      <c r="F188" s="33"/>
      <c r="G188" s="33"/>
      <c r="H188" s="31" t="s">
        <v>31</v>
      </c>
      <c r="I188" s="31" t="s">
        <v>31</v>
      </c>
      <c r="J188" s="33" t="s">
        <v>31</v>
      </c>
      <c r="K188" s="33" t="s">
        <v>31</v>
      </c>
      <c r="L188" s="33" t="s">
        <v>31</v>
      </c>
      <c r="M188" s="33"/>
      <c r="N188" s="33"/>
      <c r="O188" s="31" t="s">
        <v>31</v>
      </c>
      <c r="P188" s="31" t="s">
        <v>31</v>
      </c>
      <c r="Q188" s="31" t="s">
        <v>31</v>
      </c>
      <c r="R188" s="27"/>
      <c r="S188" s="22" t="s">
        <v>21</v>
      </c>
      <c r="T188" s="22" t="s">
        <v>31</v>
      </c>
      <c r="U188" s="55">
        <v>17294</v>
      </c>
      <c r="V188" s="90"/>
      <c r="W188" s="87">
        <f t="shared" si="0"/>
        <v>17294</v>
      </c>
    </row>
    <row r="189" spans="1:23" ht="14.25" customHeight="1" x14ac:dyDescent="0.3">
      <c r="A189" s="58"/>
      <c r="B189" s="60"/>
      <c r="C189" s="31" t="s">
        <v>31</v>
      </c>
      <c r="D189" s="31" t="s">
        <v>31</v>
      </c>
      <c r="E189" s="31"/>
      <c r="F189" s="31"/>
      <c r="G189" s="31" t="s">
        <v>31</v>
      </c>
      <c r="H189" s="31" t="s">
        <v>31</v>
      </c>
      <c r="I189" s="31" t="s">
        <v>31</v>
      </c>
      <c r="J189" s="31" t="s">
        <v>31</v>
      </c>
      <c r="K189" s="31" t="s">
        <v>31</v>
      </c>
      <c r="L189" s="31"/>
      <c r="M189" s="31"/>
      <c r="N189" s="31" t="s">
        <v>31</v>
      </c>
      <c r="O189" s="31" t="s">
        <v>31</v>
      </c>
      <c r="P189" s="31" t="s">
        <v>31</v>
      </c>
      <c r="Q189" s="31" t="s">
        <v>31</v>
      </c>
      <c r="R189" s="27"/>
      <c r="S189" s="30">
        <f>C188+D188+E188+F188+G188+H188+I188+J188+K188+L188+M188+N188+O188+P188+Q188+C189+D189+E189+F189+G189+H189+I189+J189+K189+L189+M189+N189+O189+P189+Q189+R189</f>
        <v>176</v>
      </c>
      <c r="T189" s="22"/>
      <c r="U189" s="56"/>
      <c r="V189" s="90"/>
      <c r="W189" s="87"/>
    </row>
    <row r="190" spans="1:23" s="35" customFormat="1" ht="14.25" customHeight="1" x14ac:dyDescent="0.3">
      <c r="A190" s="82">
        <f>A188+1</f>
        <v>84</v>
      </c>
      <c r="B190" s="61" t="s">
        <v>68</v>
      </c>
      <c r="C190" s="31" t="s">
        <v>32</v>
      </c>
      <c r="D190" s="29" t="s">
        <v>32</v>
      </c>
      <c r="E190" s="29" t="s">
        <v>32</v>
      </c>
      <c r="F190" s="29" t="s">
        <v>32</v>
      </c>
      <c r="G190" s="29" t="s">
        <v>32</v>
      </c>
      <c r="H190" s="27"/>
      <c r="I190" s="27"/>
      <c r="J190" s="29" t="s">
        <v>32</v>
      </c>
      <c r="K190" s="29" t="s">
        <v>32</v>
      </c>
      <c r="L190" s="29" t="s">
        <v>32</v>
      </c>
      <c r="M190" s="29" t="s">
        <v>32</v>
      </c>
      <c r="N190" s="29" t="s">
        <v>32</v>
      </c>
      <c r="O190" s="27"/>
      <c r="P190" s="27"/>
      <c r="Q190" s="31" t="s">
        <v>36</v>
      </c>
      <c r="R190" s="31"/>
      <c r="S190" s="34" t="s">
        <v>21</v>
      </c>
      <c r="T190" s="34" t="s">
        <v>31</v>
      </c>
      <c r="U190" s="55">
        <f>S191*104</f>
        <v>8996</v>
      </c>
      <c r="V190" s="87">
        <v>4</v>
      </c>
      <c r="W190" s="87">
        <f>U190+V190</f>
        <v>9000</v>
      </c>
    </row>
    <row r="191" spans="1:23" s="35" customFormat="1" ht="14.25" customHeight="1" x14ac:dyDescent="0.3">
      <c r="A191" s="83"/>
      <c r="B191" s="86"/>
      <c r="C191" s="27" t="s">
        <v>32</v>
      </c>
      <c r="D191" s="27" t="s">
        <v>32</v>
      </c>
      <c r="E191" s="27" t="s">
        <v>32</v>
      </c>
      <c r="F191" s="31" t="s">
        <v>37</v>
      </c>
      <c r="G191" s="27"/>
      <c r="H191" s="27"/>
      <c r="I191" s="27" t="s">
        <v>32</v>
      </c>
      <c r="J191" s="27" t="s">
        <v>32</v>
      </c>
      <c r="K191" s="27" t="s">
        <v>32</v>
      </c>
      <c r="L191" s="27" t="s">
        <v>32</v>
      </c>
      <c r="M191" s="27" t="s">
        <v>32</v>
      </c>
      <c r="N191" s="27"/>
      <c r="O191" s="27"/>
      <c r="P191" s="27" t="s">
        <v>32</v>
      </c>
      <c r="Q191" s="27" t="s">
        <v>32</v>
      </c>
      <c r="R191" s="31"/>
      <c r="S191" s="32">
        <f>C190+D190+E190+F190+G190+H190+I190+J190+K190+L190+M190+N190+O190+P190+Q190+C191+D191+E191+F191+G191+H191+I191+J191+K191+L191+M191+N191+O191+P191+Q191+R191</f>
        <v>86.5</v>
      </c>
      <c r="T191" s="34"/>
      <c r="U191" s="56"/>
      <c r="V191" s="87"/>
      <c r="W191" s="87"/>
    </row>
    <row r="192" spans="1:23" ht="14.25" customHeight="1" x14ac:dyDescent="0.3">
      <c r="A192" s="8"/>
      <c r="B192" s="37" t="s">
        <v>126</v>
      </c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10"/>
      <c r="T192" s="10"/>
      <c r="U192" s="36">
        <f>SUM(U24:U191)</f>
        <v>1086014</v>
      </c>
      <c r="V192" s="36">
        <f>SUM(V24:V191)</f>
        <v>423</v>
      </c>
      <c r="W192" s="36">
        <f>SUM(W24:W191)</f>
        <v>1086437</v>
      </c>
    </row>
    <row r="193" spans="1:21" ht="14.25" customHeight="1" x14ac:dyDescent="0.3">
      <c r="B193" s="11"/>
      <c r="D193" s="11"/>
      <c r="E193" s="11"/>
      <c r="F193" s="11"/>
    </row>
    <row r="194" spans="1:21" s="12" customFormat="1" ht="14.25" customHeight="1" x14ac:dyDescent="0.3">
      <c r="A194" s="62" t="s">
        <v>29</v>
      </c>
      <c r="B194" s="62"/>
      <c r="C194" s="62"/>
      <c r="D194" s="62"/>
      <c r="E194" s="62"/>
      <c r="F194" s="62"/>
      <c r="J194" s="13"/>
      <c r="L194" s="13"/>
      <c r="M194" s="13"/>
      <c r="N194" s="16"/>
      <c r="O194" s="13"/>
      <c r="P194" s="13"/>
      <c r="Q194" s="13"/>
    </row>
    <row r="195" spans="1:21" s="12" customFormat="1" ht="14.25" customHeight="1" x14ac:dyDescent="0.3">
      <c r="B195" s="13"/>
      <c r="D195" s="1"/>
      <c r="E195" s="13"/>
      <c r="F195" s="13"/>
      <c r="G195" s="2"/>
      <c r="J195" s="13"/>
      <c r="L195" s="13"/>
      <c r="M195" s="13"/>
      <c r="N195" s="13"/>
      <c r="O195" s="13"/>
      <c r="P195" s="13"/>
      <c r="Q195" s="13"/>
    </row>
    <row r="196" spans="1:21" s="12" customFormat="1" ht="14.25" customHeight="1" x14ac:dyDescent="0.3">
      <c r="A196" s="80" t="s">
        <v>131</v>
      </c>
      <c r="B196" s="54"/>
      <c r="C196" s="54"/>
      <c r="D196" s="54"/>
      <c r="E196" s="54"/>
      <c r="F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U196" s="23"/>
    </row>
    <row r="197" spans="1:21" s="12" customFormat="1" ht="14.25" customHeight="1" x14ac:dyDescent="0.3">
      <c r="A197" s="81" t="s">
        <v>30</v>
      </c>
      <c r="B197" s="81"/>
      <c r="C197" s="81"/>
      <c r="D197" s="81"/>
      <c r="E197" s="81"/>
      <c r="F197" s="81"/>
      <c r="G197" s="18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18"/>
      <c r="U197" s="24"/>
    </row>
    <row r="198" spans="1:21" s="12" customFormat="1" ht="14.25" customHeight="1" x14ac:dyDescent="0.3">
      <c r="A198" s="49" t="s">
        <v>132</v>
      </c>
      <c r="B198" s="50"/>
      <c r="C198" s="54"/>
      <c r="D198" s="54"/>
      <c r="E198" s="54"/>
      <c r="F198" s="54"/>
      <c r="H198" s="50"/>
      <c r="I198" s="50"/>
      <c r="J198" s="50"/>
      <c r="K198" s="50"/>
      <c r="L198" s="50"/>
      <c r="M198" s="50"/>
      <c r="N198" s="50"/>
      <c r="O198" s="13"/>
      <c r="P198" s="51"/>
      <c r="Q198" s="51"/>
      <c r="R198" s="51"/>
      <c r="S198" s="51"/>
      <c r="U198" s="23"/>
    </row>
    <row r="199" spans="1:21" s="12" customFormat="1" ht="14.25" customHeight="1" x14ac:dyDescent="0.3">
      <c r="B199" s="13"/>
      <c r="C199" s="53"/>
      <c r="D199" s="53"/>
      <c r="E199" s="53"/>
      <c r="F199" s="53"/>
      <c r="J199" s="13"/>
      <c r="K199" s="13"/>
      <c r="L199" s="13"/>
      <c r="M199" s="13"/>
      <c r="N199" s="13"/>
      <c r="O199" s="13"/>
      <c r="P199" s="52"/>
      <c r="Q199" s="52"/>
      <c r="R199" s="52"/>
      <c r="S199" s="52"/>
      <c r="U199" s="28"/>
    </row>
    <row r="200" spans="1:21" ht="0.75" customHeight="1" x14ac:dyDescent="0.3">
      <c r="B200" s="11"/>
      <c r="D200" s="11"/>
      <c r="E200" s="11"/>
      <c r="F200" s="11"/>
    </row>
  </sheetData>
  <sheetProtection formatCells="0" formatColumns="0" formatRows="0" insertColumns="0" insertRows="0" insertHyperlinks="0" deleteColumns="0" deleteRows="0" sort="0" autoFilter="0" pivotTables="0"/>
  <mergeCells count="477">
    <mergeCell ref="V190:V191"/>
    <mergeCell ref="W190:W191"/>
    <mergeCell ref="V11:V23"/>
    <mergeCell ref="W11:W23"/>
    <mergeCell ref="V184:V185"/>
    <mergeCell ref="W184:W185"/>
    <mergeCell ref="V186:V187"/>
    <mergeCell ref="W186:W187"/>
    <mergeCell ref="V188:V189"/>
    <mergeCell ref="W188:W189"/>
    <mergeCell ref="V178:V179"/>
    <mergeCell ref="W178:W179"/>
    <mergeCell ref="V180:V181"/>
    <mergeCell ref="W180:W181"/>
    <mergeCell ref="V182:V183"/>
    <mergeCell ref="W182:W183"/>
    <mergeCell ref="V172:V173"/>
    <mergeCell ref="W172:W173"/>
    <mergeCell ref="V174:V175"/>
    <mergeCell ref="W174:W175"/>
    <mergeCell ref="V176:V177"/>
    <mergeCell ref="W176:W177"/>
    <mergeCell ref="V166:V167"/>
    <mergeCell ref="W166:W167"/>
    <mergeCell ref="V168:V169"/>
    <mergeCell ref="W168:W169"/>
    <mergeCell ref="V170:V171"/>
    <mergeCell ref="W170:W171"/>
    <mergeCell ref="V160:V161"/>
    <mergeCell ref="W160:W161"/>
    <mergeCell ref="V162:V163"/>
    <mergeCell ref="W162:W163"/>
    <mergeCell ref="V164:V165"/>
    <mergeCell ref="W164:W165"/>
    <mergeCell ref="V154:V155"/>
    <mergeCell ref="W154:W155"/>
    <mergeCell ref="V156:V157"/>
    <mergeCell ref="W156:W157"/>
    <mergeCell ref="V158:V159"/>
    <mergeCell ref="W158:W159"/>
    <mergeCell ref="V148:V149"/>
    <mergeCell ref="W148:W149"/>
    <mergeCell ref="V150:V151"/>
    <mergeCell ref="W150:W151"/>
    <mergeCell ref="V152:V153"/>
    <mergeCell ref="W152:W153"/>
    <mergeCell ref="V140:V141"/>
    <mergeCell ref="W140:W141"/>
    <mergeCell ref="V144:V145"/>
    <mergeCell ref="W144:W145"/>
    <mergeCell ref="V146:V147"/>
    <mergeCell ref="W146:W147"/>
    <mergeCell ref="V142:V143"/>
    <mergeCell ref="W142:W143"/>
    <mergeCell ref="V134:V135"/>
    <mergeCell ref="W134:W135"/>
    <mergeCell ref="V136:V137"/>
    <mergeCell ref="W136:W137"/>
    <mergeCell ref="V138:V139"/>
    <mergeCell ref="W138:W139"/>
    <mergeCell ref="V128:V129"/>
    <mergeCell ref="W128:W129"/>
    <mergeCell ref="V130:V131"/>
    <mergeCell ref="W130:W131"/>
    <mergeCell ref="V132:V133"/>
    <mergeCell ref="W132:W133"/>
    <mergeCell ref="V120:V121"/>
    <mergeCell ref="W120:W121"/>
    <mergeCell ref="V124:V125"/>
    <mergeCell ref="W124:W125"/>
    <mergeCell ref="V126:V127"/>
    <mergeCell ref="W126:W127"/>
    <mergeCell ref="V122:V123"/>
    <mergeCell ref="W122:W123"/>
    <mergeCell ref="V114:V115"/>
    <mergeCell ref="W114:W115"/>
    <mergeCell ref="V116:V117"/>
    <mergeCell ref="W116:W117"/>
    <mergeCell ref="V118:V119"/>
    <mergeCell ref="W118:W119"/>
    <mergeCell ref="V108:V109"/>
    <mergeCell ref="W108:W109"/>
    <mergeCell ref="V110:V111"/>
    <mergeCell ref="W110:W111"/>
    <mergeCell ref="V112:V113"/>
    <mergeCell ref="W112:W113"/>
    <mergeCell ref="V102:V103"/>
    <mergeCell ref="W102:W103"/>
    <mergeCell ref="V104:V105"/>
    <mergeCell ref="W104:W105"/>
    <mergeCell ref="V106:V107"/>
    <mergeCell ref="W106:W107"/>
    <mergeCell ref="V90:V91"/>
    <mergeCell ref="W90:W91"/>
    <mergeCell ref="V94:V95"/>
    <mergeCell ref="W94:W95"/>
    <mergeCell ref="V96:V97"/>
    <mergeCell ref="W96:W97"/>
    <mergeCell ref="V92:V93"/>
    <mergeCell ref="W92:W93"/>
    <mergeCell ref="V84:V85"/>
    <mergeCell ref="W84:W85"/>
    <mergeCell ref="V86:V87"/>
    <mergeCell ref="W86:W87"/>
    <mergeCell ref="V88:V89"/>
    <mergeCell ref="W88:W89"/>
    <mergeCell ref="V78:V79"/>
    <mergeCell ref="W78:W79"/>
    <mergeCell ref="V80:V81"/>
    <mergeCell ref="W80:W81"/>
    <mergeCell ref="V82:V83"/>
    <mergeCell ref="W82:W83"/>
    <mergeCell ref="V72:V73"/>
    <mergeCell ref="W72:W73"/>
    <mergeCell ref="V74:V75"/>
    <mergeCell ref="W74:W75"/>
    <mergeCell ref="V76:V77"/>
    <mergeCell ref="W76:W77"/>
    <mergeCell ref="V66:V67"/>
    <mergeCell ref="W66:W67"/>
    <mergeCell ref="V68:V69"/>
    <mergeCell ref="W68:W69"/>
    <mergeCell ref="V70:V71"/>
    <mergeCell ref="W70:W71"/>
    <mergeCell ref="V60:V61"/>
    <mergeCell ref="W60:W61"/>
    <mergeCell ref="V62:V63"/>
    <mergeCell ref="W62:W63"/>
    <mergeCell ref="V64:V65"/>
    <mergeCell ref="W64:W65"/>
    <mergeCell ref="V54:V55"/>
    <mergeCell ref="W54:W55"/>
    <mergeCell ref="V56:V57"/>
    <mergeCell ref="W56:W57"/>
    <mergeCell ref="V58:V59"/>
    <mergeCell ref="W58:W59"/>
    <mergeCell ref="V48:V49"/>
    <mergeCell ref="W48:W49"/>
    <mergeCell ref="V50:V51"/>
    <mergeCell ref="W50:W51"/>
    <mergeCell ref="V52:V53"/>
    <mergeCell ref="W52:W53"/>
    <mergeCell ref="V42:V43"/>
    <mergeCell ref="W42:W43"/>
    <mergeCell ref="V44:V45"/>
    <mergeCell ref="W44:W45"/>
    <mergeCell ref="V46:V47"/>
    <mergeCell ref="W46:W47"/>
    <mergeCell ref="V36:V37"/>
    <mergeCell ref="W36:W37"/>
    <mergeCell ref="V38:V39"/>
    <mergeCell ref="W38:W39"/>
    <mergeCell ref="V40:V41"/>
    <mergeCell ref="W40:W41"/>
    <mergeCell ref="V30:V31"/>
    <mergeCell ref="W30:W31"/>
    <mergeCell ref="V32:V33"/>
    <mergeCell ref="W32:W33"/>
    <mergeCell ref="V34:V35"/>
    <mergeCell ref="W34:W35"/>
    <mergeCell ref="V24:V25"/>
    <mergeCell ref="W24:W25"/>
    <mergeCell ref="V26:V27"/>
    <mergeCell ref="W26:W27"/>
    <mergeCell ref="V28:V29"/>
    <mergeCell ref="W28:W29"/>
    <mergeCell ref="V98:V99"/>
    <mergeCell ref="W98:W99"/>
    <mergeCell ref="V100:V101"/>
    <mergeCell ref="W100:W101"/>
    <mergeCell ref="A188:A189"/>
    <mergeCell ref="B188:B189"/>
    <mergeCell ref="U188:U189"/>
    <mergeCell ref="U186:U187"/>
    <mergeCell ref="A180:A181"/>
    <mergeCell ref="U180:U181"/>
    <mergeCell ref="A190:A191"/>
    <mergeCell ref="B190:B191"/>
    <mergeCell ref="U190:U191"/>
    <mergeCell ref="B180:B181"/>
    <mergeCell ref="B182:B183"/>
    <mergeCell ref="A184:A185"/>
    <mergeCell ref="B184:B185"/>
    <mergeCell ref="U184:U185"/>
    <mergeCell ref="A186:A187"/>
    <mergeCell ref="B186:B187"/>
    <mergeCell ref="A182:A183"/>
    <mergeCell ref="U182:U183"/>
    <mergeCell ref="B24:B25"/>
    <mergeCell ref="B26:B27"/>
    <mergeCell ref="B28:B29"/>
    <mergeCell ref="B30:B31"/>
    <mergeCell ref="B32:B33"/>
    <mergeCell ref="A174:A175"/>
    <mergeCell ref="U174:U175"/>
    <mergeCell ref="A176:A177"/>
    <mergeCell ref="U176:U177"/>
    <mergeCell ref="A178:A179"/>
    <mergeCell ref="U178:U179"/>
    <mergeCell ref="B174:B175"/>
    <mergeCell ref="B176:B177"/>
    <mergeCell ref="B178:B179"/>
    <mergeCell ref="A168:A169"/>
    <mergeCell ref="U168:U169"/>
    <mergeCell ref="A170:A171"/>
    <mergeCell ref="U170:U171"/>
    <mergeCell ref="A172:A173"/>
    <mergeCell ref="U172:U173"/>
    <mergeCell ref="B168:B169"/>
    <mergeCell ref="B170:B171"/>
    <mergeCell ref="B172:B173"/>
    <mergeCell ref="A162:A163"/>
    <mergeCell ref="U162:U163"/>
    <mergeCell ref="A164:A165"/>
    <mergeCell ref="U164:U165"/>
    <mergeCell ref="A166:A167"/>
    <mergeCell ref="U166:U167"/>
    <mergeCell ref="B162:B163"/>
    <mergeCell ref="B164:B165"/>
    <mergeCell ref="B166:B167"/>
    <mergeCell ref="A156:A157"/>
    <mergeCell ref="U156:U157"/>
    <mergeCell ref="A158:A159"/>
    <mergeCell ref="U158:U159"/>
    <mergeCell ref="A160:A161"/>
    <mergeCell ref="U160:U161"/>
    <mergeCell ref="B156:B157"/>
    <mergeCell ref="B158:B159"/>
    <mergeCell ref="B160:B161"/>
    <mergeCell ref="A150:A151"/>
    <mergeCell ref="U150:U151"/>
    <mergeCell ref="A152:A153"/>
    <mergeCell ref="U152:U153"/>
    <mergeCell ref="A154:A155"/>
    <mergeCell ref="U154:U155"/>
    <mergeCell ref="B150:B151"/>
    <mergeCell ref="B152:B153"/>
    <mergeCell ref="B154:B155"/>
    <mergeCell ref="A144:A145"/>
    <mergeCell ref="U144:U145"/>
    <mergeCell ref="A146:A147"/>
    <mergeCell ref="U146:U147"/>
    <mergeCell ref="A148:A149"/>
    <mergeCell ref="U148:U149"/>
    <mergeCell ref="B144:B145"/>
    <mergeCell ref="B146:B147"/>
    <mergeCell ref="B148:B149"/>
    <mergeCell ref="A138:A139"/>
    <mergeCell ref="U138:U139"/>
    <mergeCell ref="A140:A141"/>
    <mergeCell ref="U140:U141"/>
    <mergeCell ref="A142:A143"/>
    <mergeCell ref="U142:U143"/>
    <mergeCell ref="B138:B139"/>
    <mergeCell ref="B140:B141"/>
    <mergeCell ref="B142:B143"/>
    <mergeCell ref="A132:A133"/>
    <mergeCell ref="U132:U133"/>
    <mergeCell ref="A134:A135"/>
    <mergeCell ref="U134:U135"/>
    <mergeCell ref="A136:A137"/>
    <mergeCell ref="U136:U137"/>
    <mergeCell ref="B132:B133"/>
    <mergeCell ref="B134:B135"/>
    <mergeCell ref="B136:B137"/>
    <mergeCell ref="A126:A127"/>
    <mergeCell ref="U126:U127"/>
    <mergeCell ref="A128:A129"/>
    <mergeCell ref="U128:U129"/>
    <mergeCell ref="A130:A131"/>
    <mergeCell ref="U130:U131"/>
    <mergeCell ref="B126:B127"/>
    <mergeCell ref="B128:B129"/>
    <mergeCell ref="B130:B131"/>
    <mergeCell ref="A120:A121"/>
    <mergeCell ref="U120:U121"/>
    <mergeCell ref="A122:A123"/>
    <mergeCell ref="U122:U123"/>
    <mergeCell ref="A124:A125"/>
    <mergeCell ref="U124:U125"/>
    <mergeCell ref="B120:B121"/>
    <mergeCell ref="B122:B123"/>
    <mergeCell ref="B124:B125"/>
    <mergeCell ref="A114:A115"/>
    <mergeCell ref="U114:U115"/>
    <mergeCell ref="A116:A117"/>
    <mergeCell ref="U116:U117"/>
    <mergeCell ref="A118:A119"/>
    <mergeCell ref="U118:U119"/>
    <mergeCell ref="B114:B115"/>
    <mergeCell ref="B116:B117"/>
    <mergeCell ref="B118:B119"/>
    <mergeCell ref="A108:A109"/>
    <mergeCell ref="U108:U109"/>
    <mergeCell ref="A110:A111"/>
    <mergeCell ref="U110:U111"/>
    <mergeCell ref="A112:A113"/>
    <mergeCell ref="U112:U113"/>
    <mergeCell ref="B108:B109"/>
    <mergeCell ref="B110:B111"/>
    <mergeCell ref="B112:B113"/>
    <mergeCell ref="A102:A103"/>
    <mergeCell ref="U102:U103"/>
    <mergeCell ref="A104:A105"/>
    <mergeCell ref="U104:U105"/>
    <mergeCell ref="A106:A107"/>
    <mergeCell ref="U106:U107"/>
    <mergeCell ref="B102:B103"/>
    <mergeCell ref="B104:B105"/>
    <mergeCell ref="B106:B107"/>
    <mergeCell ref="H197:N197"/>
    <mergeCell ref="O196:S196"/>
    <mergeCell ref="O197:S197"/>
    <mergeCell ref="F18:F23"/>
    <mergeCell ref="G18:G23"/>
    <mergeCell ref="H18:H23"/>
    <mergeCell ref="I18:I23"/>
    <mergeCell ref="Q18:Q23"/>
    <mergeCell ref="R18:R23"/>
    <mergeCell ref="S16:S19"/>
    <mergeCell ref="A24:A25"/>
    <mergeCell ref="A196:B196"/>
    <mergeCell ref="C196:F196"/>
    <mergeCell ref="C197:F197"/>
    <mergeCell ref="A197:B197"/>
    <mergeCell ref="H196:N196"/>
    <mergeCell ref="A64:A65"/>
    <mergeCell ref="A62:A63"/>
    <mergeCell ref="A72:A73"/>
    <mergeCell ref="A74:A75"/>
    <mergeCell ref="U64:U65"/>
    <mergeCell ref="T11:T23"/>
    <mergeCell ref="O12:O17"/>
    <mergeCell ref="P12:P17"/>
    <mergeCell ref="B34:B35"/>
    <mergeCell ref="B36:B37"/>
    <mergeCell ref="B38:B39"/>
    <mergeCell ref="B40:B41"/>
    <mergeCell ref="A70:A71"/>
    <mergeCell ref="U70:U71"/>
    <mergeCell ref="R12:R17"/>
    <mergeCell ref="U11:U23"/>
    <mergeCell ref="C12:C17"/>
    <mergeCell ref="D12:D17"/>
    <mergeCell ref="M12:M17"/>
    <mergeCell ref="I12:I17"/>
    <mergeCell ref="N12:N17"/>
    <mergeCell ref="N18:N23"/>
    <mergeCell ref="Q12:Q17"/>
    <mergeCell ref="M18:M23"/>
    <mergeCell ref="K18:K23"/>
    <mergeCell ref="L18:L23"/>
    <mergeCell ref="J18:J23"/>
    <mergeCell ref="J12:J17"/>
    <mergeCell ref="L12:L17"/>
    <mergeCell ref="O18:O23"/>
    <mergeCell ref="P18:P23"/>
    <mergeCell ref="C18:C23"/>
    <mergeCell ref="D18:D23"/>
    <mergeCell ref="E12:E17"/>
    <mergeCell ref="B11:B23"/>
    <mergeCell ref="A11:A23"/>
    <mergeCell ref="C11:R11"/>
    <mergeCell ref="K12:K17"/>
    <mergeCell ref="F12:F17"/>
    <mergeCell ref="G12:G17"/>
    <mergeCell ref="H12:H17"/>
    <mergeCell ref="U30:U31"/>
    <mergeCell ref="U24:U25"/>
    <mergeCell ref="A194:F194"/>
    <mergeCell ref="U72:U73"/>
    <mergeCell ref="U74:U75"/>
    <mergeCell ref="U76:U77"/>
    <mergeCell ref="U78:U79"/>
    <mergeCell ref="A26:A27"/>
    <mergeCell ref="A28:A29"/>
    <mergeCell ref="U62:U63"/>
    <mergeCell ref="U26:U27"/>
    <mergeCell ref="A32:A33"/>
    <mergeCell ref="U32:U33"/>
    <mergeCell ref="A80:A81"/>
    <mergeCell ref="U80:U81"/>
    <mergeCell ref="B42:B43"/>
    <mergeCell ref="B44:B45"/>
    <mergeCell ref="B46:B47"/>
    <mergeCell ref="B48:B49"/>
    <mergeCell ref="A34:A35"/>
    <mergeCell ref="U34:U35"/>
    <mergeCell ref="U28:U29"/>
    <mergeCell ref="A30:A31"/>
    <mergeCell ref="A82:A83"/>
    <mergeCell ref="U82:U83"/>
    <mergeCell ref="B50:B51"/>
    <mergeCell ref="B52:B53"/>
    <mergeCell ref="B54:B55"/>
    <mergeCell ref="B56:B57"/>
    <mergeCell ref="A38:A39"/>
    <mergeCell ref="U38:U39"/>
    <mergeCell ref="A36:A37"/>
    <mergeCell ref="U36:U37"/>
    <mergeCell ref="A84:A85"/>
    <mergeCell ref="U84:U85"/>
    <mergeCell ref="B58:B59"/>
    <mergeCell ref="B60:B61"/>
    <mergeCell ref="B62:B63"/>
    <mergeCell ref="B64:B65"/>
    <mergeCell ref="A42:A43"/>
    <mergeCell ref="U42:U43"/>
    <mergeCell ref="A40:A41"/>
    <mergeCell ref="U40:U41"/>
    <mergeCell ref="A86:A87"/>
    <mergeCell ref="U86:U87"/>
    <mergeCell ref="B66:B67"/>
    <mergeCell ref="B68:B69"/>
    <mergeCell ref="B70:B71"/>
    <mergeCell ref="B72:B73"/>
    <mergeCell ref="A46:A47"/>
    <mergeCell ref="U46:U47"/>
    <mergeCell ref="A44:A45"/>
    <mergeCell ref="U44:U45"/>
    <mergeCell ref="A88:A89"/>
    <mergeCell ref="U88:U89"/>
    <mergeCell ref="B74:B75"/>
    <mergeCell ref="B76:B77"/>
    <mergeCell ref="B78:B79"/>
    <mergeCell ref="B80:B81"/>
    <mergeCell ref="A50:A51"/>
    <mergeCell ref="U50:U51"/>
    <mergeCell ref="A48:A49"/>
    <mergeCell ref="U48:U49"/>
    <mergeCell ref="A90:A91"/>
    <mergeCell ref="U90:U91"/>
    <mergeCell ref="B82:B83"/>
    <mergeCell ref="B84:B85"/>
    <mergeCell ref="B86:B87"/>
    <mergeCell ref="B88:B89"/>
    <mergeCell ref="A54:A55"/>
    <mergeCell ref="U52:U53"/>
    <mergeCell ref="A92:A93"/>
    <mergeCell ref="U92:U93"/>
    <mergeCell ref="B90:B91"/>
    <mergeCell ref="B92:B93"/>
    <mergeCell ref="A56:A57"/>
    <mergeCell ref="U56:U57"/>
    <mergeCell ref="A60:A61"/>
    <mergeCell ref="A76:A77"/>
    <mergeCell ref="A78:A79"/>
    <mergeCell ref="U94:U95"/>
    <mergeCell ref="A96:A97"/>
    <mergeCell ref="U96:U97"/>
    <mergeCell ref="B94:B95"/>
    <mergeCell ref="B96:B97"/>
    <mergeCell ref="U54:U55"/>
    <mergeCell ref="A66:A67"/>
    <mergeCell ref="U66:U67"/>
    <mergeCell ref="A68:A69"/>
    <mergeCell ref="U68:U69"/>
    <mergeCell ref="U60:U61"/>
    <mergeCell ref="A58:A59"/>
    <mergeCell ref="U58:U59"/>
    <mergeCell ref="A98:A99"/>
    <mergeCell ref="U98:U99"/>
    <mergeCell ref="A100:A101"/>
    <mergeCell ref="U100:U101"/>
    <mergeCell ref="B98:B99"/>
    <mergeCell ref="B100:B101"/>
    <mergeCell ref="A94:A95"/>
    <mergeCell ref="S11:S15"/>
    <mergeCell ref="A198:B198"/>
    <mergeCell ref="H198:N198"/>
    <mergeCell ref="P198:S198"/>
    <mergeCell ref="P199:S199"/>
    <mergeCell ref="C199:F199"/>
    <mergeCell ref="C198:F198"/>
    <mergeCell ref="A52:A53"/>
    <mergeCell ref="S20:S23"/>
    <mergeCell ref="E18:E23"/>
  </mergeCells>
  <pageMargins left="0.39370078740157" right="0.39370078740157" top="0.55118110236219997" bottom="0.55118110236219997" header="0" footer="0"/>
  <pageSetup paperSize="9" orientation="landscape" r:id="rId1"/>
  <rowBreaks count="1" manualBreakCount="1">
    <brk id="3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Фома Бурма</cp:lastModifiedBy>
  <cp:lastPrinted>2019-08-02T13:10:58Z</cp:lastPrinted>
  <dcterms:created xsi:type="dcterms:W3CDTF">2017-12-22T01:34:55Z</dcterms:created>
  <dcterms:modified xsi:type="dcterms:W3CDTF">2026-08-28T17:06:52Z</dcterms:modified>
  <cp:category/>
</cp:coreProperties>
</file>